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1e978d7ddf4b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f002787ef0043b7"/>
    <x:sheet xmlns:r="http://schemas.openxmlformats.org/officeDocument/2006/relationships" name="Lookup_Lists" sheetId="2" r:id="Rb0cc8d1129a14d26"/>
    <x:sheet xmlns:r="http://schemas.openxmlformats.org/officeDocument/2006/relationships" name="Control_Library" sheetId="3" r:id="Rfb7794d8cb4e40ad"/>
    <x:sheet xmlns:r="http://schemas.openxmlformats.org/officeDocument/2006/relationships" name="Risk_Register" sheetId="4" r:id="R0fdd5061f9b04f9b"/>
    <x:sheet xmlns:r="http://schemas.openxmlformats.org/officeDocument/2006/relationships" name="Dashboard" sheetId="5" r:id="R75665281850e4224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G2" authorId="0">
      <x:text>
        <x:r>
          <x:t>Blue font = input cell. Use a 1-5 scale.</x:t>
        </x:r>
      </x:text>
    </x:comment>
    <x:comment ref="K2" authorId="0">
      <x:text>
        <x:r>
          <x:t>Control strength is an input. Higher values reduce residual risk.</x:t>
        </x:r>
      </x:text>
    </x:comment>
    <x:comment ref="P2" authorId="0">
      <x:text>
        <x:r>
          <x:t>Auto-populated from Control_Library based on the Domain selection.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dd-mmm-yyyy"/>
  </x:numFmts>
  <x:fonts count="9">
    <x:font>
      <x:sz val="11"/>
      <x:color theme="1"/>
      <x:name val="Calibri"/>
      <x:family val="2"/>
      <x:scheme val="minor"/>
    </x:font>
    <x:font>
      <x:b/>
      <x:sz val="16"/>
      <x:color rgb="00FFFFFF"/>
    </x:font>
    <x:font>
      <x:b/>
      <x:color rgb="00FFFFFF"/>
    </x:font>
    <x:font>
      <x:b/>
      <x:color rgb="00000000"/>
    </x:font>
    <x:font>
      <x:color rgb="00000000"/>
    </x:font>
    <x:font>
      <x:color rgb="000000FF"/>
    </x:font>
    <x:font>
      <x:b/>
      <x:color rgb="00008080"/>
    </x:font>
    <x:font>
      <x:b/>
      <x:sz val="14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0017365D"/>
      </x:patternFill>
    </x:fill>
    <x:fill>
      <x:patternFill patternType="solid">
        <x:fgColor rgb="00D9EAF7"/>
      </x:patternFill>
    </x:fill>
    <x:fill>
      <x:patternFill patternType="solid">
        <x:fgColor rgb="00FFFFFF"/>
      </x:patternFill>
    </x:fill>
    <x:fill>
      <x:patternFill patternType="solid">
        <x:fgColor rgb="00EAF2FF"/>
      </x:patternFill>
    </x:fill>
    <x:fill>
      <x:patternFill patternType="solid">
        <x:fgColor rgb="00D9EDEB"/>
      </x:patternFill>
    </x:fill>
  </x:fills>
  <x:borders count="3">
    <x:border>
      <x:left/>
      <x:right/>
      <x:top/>
      <x:bottom/>
      <x:diagonal/>
    </x:border>
    <x:border>
      <x:bottom style="thin">
        <x:color rgb="00D9D9D9"/>
      </x:bottom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2" borderId="0" xfId="0"/>
    <x:xf numFmtId="0" fontId="2" fillId="2" borderId="0" xfId="0"/>
    <x:xf numFmtId="0" fontId="0" fillId="0" borderId="0" xfId="0" applyAlignment="1">
      <x:alignment wrapText="1"/>
    </x:xf>
    <x:xf numFmtId="0" fontId="3" fillId="3" borderId="1" xfId="0" applyAlignment="1">
      <x:alignment horizontal="left" vertical="center" wrapText="1"/>
    </x:xf>
    <x:xf numFmtId="0" fontId="2" fillId="2" borderId="1" xfId="0" applyAlignment="1">
      <x:alignment horizontal="left" vertical="center" wrapText="1"/>
    </x:xf>
    <x:xf numFmtId="0" fontId="0" fillId="0" borderId="1" xfId="0" applyAlignment="1">
      <x:alignment vertical="top" wrapText="1"/>
    </x:xf>
    <x:xf numFmtId="0" fontId="2" fillId="2" borderId="1" xfId="0" applyAlignment="1">
      <x:alignment horizontal="center" vertical="center" wrapText="1"/>
    </x:xf>
    <x:xf numFmtId="0" fontId="4" fillId="4" borderId="1" xfId="0" applyAlignment="1">
      <x:alignment vertical="top" wrapText="1"/>
    </x:xf>
    <x:xf numFmtId="0" fontId="5" fillId="5" borderId="1" xfId="0" applyAlignment="1">
      <x:alignment vertical="top" wrapText="1"/>
    </x:xf>
    <x:xf numFmtId="164" fontId="5" fillId="5" borderId="1" xfId="0" applyAlignment="1">
      <x:alignment vertical="top" wrapText="1"/>
    </x:xf>
    <x:xf numFmtId="0" fontId="6" fillId="6" borderId="2" xfId="0" applyAlignment="1">
      <x:alignment horizontal="center" vertical="center"/>
    </x:xf>
    <x:xf numFmtId="0" fontId="0" fillId="0" borderId="2" xfId="0"/>
    <x:xf numFmtId="0" fontId="7" fillId="0" borderId="2" xfId="0" applyAlignment="1">
      <x:alignment horizontal="center" vertical="center"/>
    </x:xf>
    <x:xf numFmtId="0" fontId="3" fillId="3" borderId="1" xfId="0" applyAlignment="1">
      <x:alignment horizontal="center" vertical="center" wrapText="1"/>
    </x:xf>
    <x:xf numFmtId="0" fontId="8" fillId="3" borderId="1" xfId="0" applyAlignment="1">
      <x:alignment horizontal="center"/>
    </x:xf>
    <x:xf numFmtId="0" fontId="3" fillId="4" borderId="2" xfId="0" applyAlignment="1">
      <x:alignment horizontal="center"/>
    </x:xf>
    <x:xf numFmtId="0" fontId="3" fillId="4" borderId="1" xfId="0" applyAlignment="1">
      <x:alignment horizontal="left" vertical="center" wrapText="1"/>
    </x:xf>
    <x:xf numFmtId="0" fontId="8" fillId="3" borderId="0" xfId="0" applyAlignment="1">
      <x:alignment horizontal="center"/>
    </x:xf>
    <x:xf numFmtId="0" fontId="0" fillId="0" borderId="2" xfId="0" applyAlignment="1">
      <x:alignment horizontal="center"/>
    </x:xf>
  </x:cellXfs>
  <x:cellStyles count="1">
    <x:cellStyle name="Normal" xfId="0"/>
  </x:cellStyles>
  <x:dxfs count="3"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  <x:dxf>
      <x:fill>
        <x:patternFill>
          <x:bgColor rgb="00C6EF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1130438125417a" /><Relationship Type="http://schemas.openxmlformats.org/officeDocument/2006/relationships/theme" Target="/xl/theme/theme1.xml" Id="R4ae8b71f529247ba" /><Relationship Type="http://schemas.openxmlformats.org/officeDocument/2006/relationships/sharedStrings" Target="/xl/sharedStrings.xml" Id="R2091e1eec65743df" /><Relationship Type="http://schemas.openxmlformats.org/officeDocument/2006/relationships/worksheet" Target="/xl/worksheets/sheet1.xml" Id="R1f002787ef0043b7" /><Relationship Type="http://schemas.openxmlformats.org/officeDocument/2006/relationships/worksheet" Target="/xl/worksheets/sheet2.xml" Id="Rb0cc8d1129a14d26" /><Relationship Type="http://schemas.openxmlformats.org/officeDocument/2006/relationships/worksheet" Target="/xl/worksheets/sheet3.xml" Id="Rfb7794d8cb4e40ad" /><Relationship Type="http://schemas.openxmlformats.org/officeDocument/2006/relationships/worksheet" Target="/xl/worksheets/sheet4.xml" Id="R0fdd5061f9b04f9b" /><Relationship Type="http://schemas.openxmlformats.org/officeDocument/2006/relationships/worksheet" Target="/xl/worksheets/sheet5.xml" Id="R75665281850e4224" /><Relationship Type="http://schemas.microsoft.com/office/2017/10/relationships/person" Target="/xl/persons/person.xml" Id="R35630b90009e4688" /></Relationships>
</file>

<file path=xl/persons/person.xml><?xml version="1.0" encoding="utf-8"?>
<xltc:personList xmlns:xltc="http://schemas.microsoft.com/office/spreadsheetml/2018/threadedcomments">
  <xltc:person displayName="OpenAI" id="{8E55B7DA-A8CA-857B-E35D-F86F49BB176C}"/>
</xltc: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1e827872621d4ed9" /><Relationship Type="http://schemas.openxmlformats.org/officeDocument/2006/relationships/vmlDrawing" Target="/xl/drawings/vmldrawing.vml" Id="R87b4e34a44d647c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18" customWidth="1"/>
    <x:col min="3" max="3" width="38" customWidth="1"/>
    <x:col min="4" max="4" width="4" customWidth="1"/>
    <x:col min="5" max="5" width="24" customWidth="1"/>
    <x:col min="6" max="6" width="20" customWidth="1"/>
    <x:col min="7" max="7" width="20" customWidth="1"/>
    <x:col min="8" max="8" width="18" customWidth="1"/>
  </x:cols>
  <x:sheetData>
    <x:row r="1">
      <x:c r="A1" s="1" t="inlineStr">
        <x:is>
          <x:t xml:space="preserve">UK GRC Risk Register + Compliance Mapping Tool</x:t>
        </x:is>
      </x:c>
    </x:row>
    <x:row r="3">
      <x:c r="A3" s="2" t="inlineStr">
        <x:is>
          <x:t xml:space="preserve">How to use</x:t>
        </x:is>
      </x:c>
      <x:c r="E3" s="2" t="inlineStr">
        <x:is>
          <x:t xml:space="preserve">GitHub positioning</x:t>
        </x:is>
      </x:c>
    </x:row>
    <x:row r="4">
      <x:c r="A4" s="3" t="inlineStr">
        <x:is>
          <x:t xml:space="preserve">• Use the Risk_Register sheet to record risks and enter only the blue input cells.</x:t>
        </x:is>
      </x:c>
      <x:c r="E4" s="3" t="inlineStr">
        <x:is>
          <x:t xml:space="preserve">• Repo name: uk-grc-risk-register-project</x:t>
        </x:is>
      </x:c>
    </x:row>
    <x:row r="5">
      <x:c r="A5" s="3" t="inlineStr">
        <x:is>
          <x:t xml:space="preserve">• Likelihood, impact, and control strength drive the inherent and residual score formulas.</x:t>
        </x:is>
      </x:c>
      <x:c r="E5" s="3" t="inlineStr">
        <x:is>
          <x:t xml:space="preserve">• Headline: Excel-based UK GRC risk register with formula-driven scoring</x:t>
        </x:is>
      </x:c>
    </x:row>
    <x:row r="6">
      <x:c r="A6" s="3" t="inlineStr">
        <x:is>
          <x:t xml:space="preserve">• Choose a Domain from the dropdown to auto-fill ISO 27001 and UK GDPR / DPA mappings.</x:t>
        </x:is>
      </x:c>
      <x:c r="E6" s="3" t="inlineStr">
        <x:is>
          <x:t xml:space="preserve">• Show screenshots of Dashboard, Risk_Register, and Control_Library</x:t>
        </x:is>
      </x:c>
    </x:row>
    <x:row r="7">
      <x:c r="A7" s="3" t="inlineStr">
        <x:is>
          <x:t xml:space="preserve">• Use Dashboard for a management-style snapshot of current risk posture and overdue items.</x:t>
        </x:is>
      </x:c>
      <x:c r="E7" s="3" t="inlineStr">
        <x:is>
          <x:t xml:space="preserve">• Use it to prove GRC thinking, Excel skills, and UK regulatory awareness</x:t>
        </x:is>
      </x:c>
    </x:row>
    <x:row r="8">
      <x:c r="A8" s="3" t="inlineStr">
        <x:is>
          <x:t xml:space="preserve">• Commit the workbook and README to GitHub as a portfolio project.</x:t>
        </x:is>
      </x:c>
    </x:row>
    <x:row r="11">
      <x:c r="A11" s="2" t="inlineStr">
        <x:is>
          <x:t xml:space="preserve">Scoring logic</x:t>
        </x:is>
      </x:c>
    </x:row>
    <x:row r="12">
      <x:c r="A12" s="4" t="inlineStr">
        <x:is>
          <x:t xml:space="preserve">Metric</x:t>
        </x:is>
      </x:c>
      <x:c r="B12" s="4" t="inlineStr">
        <x:is>
          <x:t xml:space="preserve">Scale / Formula</x:t>
        </x:is>
      </x:c>
      <x:c r="C12" s="4" t="inlineStr">
        <x:is>
          <x:t xml:space="preserve">Meaning</x:t>
        </x:is>
      </x:c>
    </x:row>
    <x:row r="13">
      <x:c r="A13" t="inlineStr">
        <x:is>
          <x:t xml:space="preserve">Likelihood</x:t>
        </x:is>
      </x:c>
      <x:c r="B13" t="inlineStr">
        <x:is>
          <x:t xml:space="preserve">1-5</x:t>
        </x:is>
      </x:c>
      <x:c r="C13" t="inlineStr">
        <x:is>
          <x:t xml:space="preserve">1 = rare, 5 = almost certain</x:t>
        </x:is>
      </x:c>
    </x:row>
    <x:row r="14">
      <x:c r="A14" t="inlineStr">
        <x:is>
          <x:t xml:space="preserve">Impact</x:t>
        </x:is>
      </x:c>
      <x:c r="B14" t="inlineStr">
        <x:is>
          <x:t xml:space="preserve">1-5</x:t>
        </x:is>
      </x:c>
      <x:c r="C14" t="inlineStr">
        <x:is>
          <x:t xml:space="preserve">1 = low, 5 = severe</x:t>
        </x:is>
      </x:c>
    </x:row>
    <x:row r="15">
      <x:c r="A15" t="inlineStr">
        <x:is>
          <x:t xml:space="preserve">Inherent score</x:t>
        </x:is>
      </x:c>
      <x:c r="B15" t="inlineStr">
        <x:is>
          <x:t xml:space="preserve">Likelihood × Impact</x:t>
        </x:is>
      </x:c>
      <x:c r="C15" t="inlineStr">
        <x:is>
          <x:t xml:space="preserve">Score before control strength is considered</x:t>
        </x:is>
      </x:c>
    </x:row>
    <x:row r="16">
      <x:c r="A16" t="inlineStr">
        <x:is>
          <x:t xml:space="preserve">Control strength</x:t>
        </x:is>
      </x:c>
      <x:c r="B16" t="inlineStr">
        <x:is>
          <x:t xml:space="preserve">1-5</x:t>
        </x:is>
      </x:c>
      <x:c r="C16" t="inlineStr">
        <x:is>
          <x:t xml:space="preserve">1 = weak controls, 5 = strong controls</x:t>
        </x:is>
      </x:c>
    </x:row>
    <x:row r="17">
      <x:c r="A17" t="inlineStr">
        <x:is>
          <x:t xml:space="preserve">Residual score</x:t>
        </x:is>
      </x:c>
      <x:c r="B17" t="inlineStr">
        <x:is>
          <x:t xml:space="preserve">Residual Likelihood × Residual Impact</x:t>
        </x:is>
      </x:c>
      <x:c r="C17" t="inlineStr">
        <x:is>
          <x:t xml:space="preserve">Score after control effect</x:t>
        </x:is>
      </x:c>
    </x:row>
  </x:sheetData>
  <x:mergeCells>
    <x:mergeCell ref="A5:D5"/>
    <x:mergeCell ref="A8:D8"/>
    <x:mergeCell ref="A11:C11"/>
    <x:mergeCell ref="A6:D6"/>
    <x:mergeCell ref="E3:H3"/>
    <x:mergeCell ref="A4:D4"/>
    <x:mergeCell ref="A3:D3"/>
    <x:mergeCell ref="E4:H4"/>
    <x:mergeCell ref="E6:H6"/>
    <x:mergeCell ref="A7:D7"/>
    <x:mergeCell ref="E7:H7"/>
    <x:mergeCell ref="A1:H1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4" customWidth="1"/>
    <x:col min="3" max="3" width="16" customWidth="1"/>
    <x:col min="5" max="5" width="24" customWidth="1"/>
  </x:cols>
  <x:sheetData>
    <x:row r="1">
      <x:c r="A1" t="inlineStr">
        <x:is>
          <x:t xml:space="preserve">Domains</x:t>
        </x:is>
      </x:c>
      <x:c r="C1" t="inlineStr">
        <x:is>
          <x:t xml:space="preserve">Status</x:t>
        </x:is>
      </x:c>
      <x:c r="E1" t="inlineStr">
        <x:is>
          <x:t xml:space="preserve">Owners</x:t>
        </x:is>
      </x:c>
    </x:row>
    <x:row r="2">
      <x:c r="A2" t="inlineStr">
        <x:is>
          <x:t xml:space="preserve">Access Control</x:t>
        </x:is>
      </x:c>
      <x:c r="C2" t="inlineStr">
        <x:is>
          <x:t xml:space="preserve">Open</x:t>
        </x:is>
      </x:c>
      <x:c r="E2" t="inlineStr">
        <x:is>
          <x:t xml:space="preserve">Security Team</x:t>
        </x:is>
      </x:c>
    </x:row>
    <x:row r="3">
      <x:c r="A3" t="inlineStr">
        <x:is>
          <x:t xml:space="preserve">Data Protection / DLP</x:t>
        </x:is>
      </x:c>
      <x:c r="C3" t="inlineStr">
        <x:is>
          <x:t xml:space="preserve">In Progress</x:t>
        </x:is>
      </x:c>
      <x:c r="E3" t="inlineStr">
        <x:is>
          <x:t xml:space="preserve">IT Operations</x:t>
        </x:is>
      </x:c>
    </x:row>
    <x:row r="4">
      <x:c r="A4" t="inlineStr">
        <x:is>
          <x:t xml:space="preserve">Asset Inventory</x:t>
        </x:is>
      </x:c>
      <x:c r="C4" t="inlineStr">
        <x:is>
          <x:t xml:space="preserve">Mitigated</x:t>
        </x:is>
      </x:c>
      <x:c r="E4" t="inlineStr">
        <x:is>
          <x:t xml:space="preserve">Compliance</x:t>
        </x:is>
      </x:c>
    </x:row>
    <x:row r="5">
      <x:c r="A5" t="inlineStr">
        <x:is>
          <x:t xml:space="preserve">Third-Party Risk</x:t>
        </x:is>
      </x:c>
      <x:c r="C5" t="inlineStr">
        <x:is>
          <x:t xml:space="preserve">Accepted</x:t>
        </x:is>
      </x:c>
      <x:c r="E5" t="inlineStr">
        <x:is>
          <x:t xml:space="preserve">Engineering</x:t>
        </x:is>
      </x:c>
    </x:row>
    <x:row r="6">
      <x:c r="A6" t="inlineStr">
        <x:is>
          <x:t xml:space="preserve">Vulnerability Management</x:t>
        </x:is>
      </x:c>
      <x:c r="C6" t="inlineStr">
        <x:is>
          <x:t xml:space="preserve">Closed</x:t>
        </x:is>
      </x:c>
      <x:c r="E6" t="inlineStr">
        <x:is>
          <x:t xml:space="preserve">Data Protection Lead</x:t>
        </x:is>
      </x:c>
    </x:row>
    <x:row r="7">
      <x:c r="A7" t="inlineStr">
        <x:is>
          <x:t xml:space="preserve">Logging &amp; Monitoring</x:t>
        </x:is>
      </x:c>
      <x:c r="E7" t="inlineStr">
        <x:is>
          <x:t xml:space="preserve">Third-Party Manager</x:t>
        </x:is>
      </x:c>
    </x:row>
    <x:row r="8">
      <x:c r="A8" t="inlineStr">
        <x:is>
          <x:t xml:space="preserve">Incident Response</x:t>
        </x:is>
      </x:c>
    </x:row>
    <x:row r="9">
      <x:c r="A9" t="inlineStr">
        <x:is>
          <x:t xml:space="preserve">Backup &amp; Recovery</x:t>
        </x:is>
      </x:c>
    </x:row>
    <x:row r="10">
      <x:c r="A10" t="inlineStr">
        <x:is>
          <x:t xml:space="preserve">Network Segmentation</x:t>
        </x:is>
      </x:c>
    </x:row>
    <x:row r="11">
      <x:c r="A11" t="inlineStr">
        <x:is>
          <x:t xml:space="preserve">OT / ICS Security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44" customWidth="1"/>
    <x:col min="3" max="3" width="32" customWidth="1"/>
    <x:col min="4" max="4" width="38" customWidth="1"/>
    <x:col min="5" max="5" width="42" customWidth="1"/>
  </x:cols>
  <x:sheetData>
    <x:row r="1">
      <x:c r="A1" s="5" t="inlineStr">
        <x:is>
          <x:t xml:space="preserve">Domain</x:t>
        </x:is>
      </x:c>
      <x:c r="B1" s="5" t="inlineStr">
        <x:is>
          <x:t xml:space="preserve">ISO 27001:2022 Control Mapping</x:t>
        </x:is>
      </x:c>
      <x:c r="C1" s="5" t="inlineStr">
        <x:is>
          <x:t xml:space="preserve">UK GDPR / DPA 2018 Mapping</x:t>
        </x:is>
      </x:c>
      <x:c r="D1" s="5" t="inlineStr">
        <x:is>
          <x:t xml:space="preserve">Typical Gap / Finding</x:t>
        </x:is>
      </x:c>
      <x:c r="E1" s="5" t="inlineStr">
        <x:is>
          <x:t xml:space="preserve">Example Recommendation</x:t>
        </x:is>
      </x:c>
    </x:row>
    <x:row r="2">
      <x:c r="A2" s="6" t="inlineStr">
        <x:is>
          <x:t xml:space="preserve">Access Control</x:t>
        </x:is>
      </x:c>
      <x:c r="B2" s="6" t="inlineStr">
        <x:is>
          <x:t xml:space="preserve">5.15 Access control; 8.2 Privileged access rights; 8.3 Information access restriction</x:t>
        </x:is>
      </x:c>
      <x:c r="C2" s="6" t="inlineStr">
        <x:is>
          <x:t xml:space="preserve">Integrity &amp; confidentiality principle; Art. 32 security of processing</x:t>
        </x:is>
      </x:c>
      <x:c r="D2" s="6" t="inlineStr">
        <x:is>
          <x:t xml:space="preserve">User access reviews are ad hoc or undocumented</x:t>
        </x:is>
      </x:c>
      <x:c r="E2" s="6" t="inlineStr">
        <x:is>
          <x:t xml:space="preserve">Implement quarterly access reviews, role-based access, and privileged account monitoring</x:t>
        </x:is>
      </x:c>
    </x:row>
    <x:row r="3">
      <x:c r="A3" s="6" t="inlineStr">
        <x:is>
          <x:t xml:space="preserve">Data Protection / DLP</x:t>
        </x:is>
      </x:c>
      <x:c r="B3" s="6" t="inlineStr">
        <x:is>
          <x:t xml:space="preserve">5.12 Classification of information; 5.14 Information transfer; 8.12 Data leakage prevention</x:t>
        </x:is>
      </x:c>
      <x:c r="C3" s="6" t="inlineStr">
        <x:is>
          <x:t xml:space="preserve">Lawfulness/fairness/transparency; storage limitation; Art. 32 security of processing</x:t>
        </x:is>
      </x:c>
      <x:c r="D3" s="6" t="inlineStr">
        <x:is>
          <x:t xml:space="preserve">No formal DLP rules for email and cloud data movement</x:t>
        </x:is>
      </x:c>
      <x:c r="E3" s="6" t="inlineStr">
        <x:is>
          <x:t xml:space="preserve">Deploy DLP policies, encryption, and approved transfer channels for personal data</x:t>
        </x:is>
      </x:c>
    </x:row>
    <x:row r="4">
      <x:c r="A4" s="6" t="inlineStr">
        <x:is>
          <x:t xml:space="preserve">Asset Inventory</x:t>
        </x:is>
      </x:c>
      <x:c r="B4" s="6" t="inlineStr">
        <x:is>
          <x:t xml:space="preserve">5.9 Inventory of information and other associated assets</x:t>
        </x:is>
      </x:c>
      <x:c r="C4" s="6" t="inlineStr">
        <x:is>
          <x:t xml:space="preserve">Accountability principle</x:t>
        </x:is>
      </x:c>
      <x:c r="D4" s="6" t="inlineStr">
        <x:is>
          <x:t xml:space="preserve">Incomplete inventory of information assets and owners</x:t>
        </x:is>
      </x:c>
      <x:c r="E4" s="6" t="inlineStr">
        <x:is>
          <x:t xml:space="preserve">Create and maintain an asset inventory with business owner, classification, and review cadence</x:t>
        </x:is>
      </x:c>
    </x:row>
    <x:row r="5">
      <x:c r="A5" s="6" t="inlineStr">
        <x:is>
          <x:t xml:space="preserve">Third-Party Risk</x:t>
        </x:is>
      </x:c>
      <x:c r="B5" s="6" t="inlineStr">
        <x:is>
          <x:t xml:space="preserve">5.19 Information security in supplier relationships; 5.20 Addressing supplier agreements</x:t>
        </x:is>
      </x:c>
      <x:c r="C5" s="6" t="inlineStr">
        <x:is>
          <x:t xml:space="preserve">Processor due diligence; Art. 28 processor obligations</x:t>
        </x:is>
      </x:c>
      <x:c r="D5" s="6" t="inlineStr">
        <x:is>
          <x:t xml:space="preserve">Supplier security clauses and due diligence are inconsistent</x:t>
        </x:is>
      </x:c>
      <x:c r="E5" s="6" t="inlineStr">
        <x:is>
          <x:t xml:space="preserve">Introduce vendor risk assessments and standard contractual security requirements</x:t>
        </x:is>
      </x:c>
    </x:row>
    <x:row r="6">
      <x:c r="A6" s="6" t="inlineStr">
        <x:is>
          <x:t xml:space="preserve">Vulnerability Management</x:t>
        </x:is>
      </x:c>
      <x:c r="B6" s="6" t="inlineStr">
        <x:is>
          <x:t xml:space="preserve">8.8 Management of technical vulnerabilities</x:t>
        </x:is>
      </x:c>
      <x:c r="C6" s="6" t="inlineStr">
        <x:is>
          <x:t xml:space="preserve">Art. 32 security of processing</x:t>
        </x:is>
      </x:c>
      <x:c r="D6" s="6" t="inlineStr">
        <x:is>
          <x:t xml:space="preserve">Scanning, remediation SLAs, or exception tracking are not formalised</x:t>
        </x:is>
      </x:c>
      <x:c r="E6" s="6" t="inlineStr">
        <x:is>
          <x:t xml:space="preserve">Define vulnerability management SLAs, track remediation, and escalate overdue critical findings</x:t>
        </x:is>
      </x:c>
    </x:row>
    <x:row r="7">
      <x:c r="A7" s="6" t="inlineStr">
        <x:is>
          <x:t xml:space="preserve">Logging &amp; Monitoring</x:t>
        </x:is>
      </x:c>
      <x:c r="B7" s="6" t="inlineStr">
        <x:is>
          <x:t xml:space="preserve">8.15 Logging; 8.16 Monitoring activities</x:t>
        </x:is>
      </x:c>
      <x:c r="C7" s="6" t="inlineStr">
        <x:is>
          <x:t xml:space="preserve">Accountability and security of processing</x:t>
        </x:is>
      </x:c>
      <x:c r="D7" s="6" t="inlineStr">
        <x:is>
          <x:t xml:space="preserve">Security logs are not centrally retained or regularly reviewed</x:t>
        </x:is>
      </x:c>
      <x:c r="E7" s="6" t="inlineStr">
        <x:is>
          <x:t xml:space="preserve">Enable central logging, alert tuning, and evidence retention aligned to policy</x:t>
        </x:is>
      </x:c>
    </x:row>
    <x:row r="8">
      <x:c r="A8" s="6" t="inlineStr">
        <x:is>
          <x:t xml:space="preserve">Incident Response</x:t>
        </x:is>
      </x:c>
      <x:c r="B8" s="6" t="inlineStr">
        <x:is>
          <x:t xml:space="preserve">5.24 Incident management planning; 5.25 Assessment and decision on events</x:t>
        </x:is>
      </x:c>
      <x:c r="C8" s="6" t="inlineStr">
        <x:is>
          <x:t xml:space="preserve">Art. 33/34 breach notification and communication</x:t>
        </x:is>
      </x:c>
      <x:c r="D8" s="6" t="inlineStr">
        <x:is>
          <x:t xml:space="preserve">Incident process exists but testing and breach escalation criteria are weak</x:t>
        </x:is>
      </x:c>
      <x:c r="E8" s="6" t="inlineStr">
        <x:is>
          <x:t xml:space="preserve">Run tabletop exercises and define breach assessment and notification workflows</x:t>
        </x:is>
      </x:c>
    </x:row>
    <x:row r="9">
      <x:c r="A9" s="6" t="inlineStr">
        <x:is>
          <x:t xml:space="preserve">Backup &amp; Recovery</x:t>
        </x:is>
      </x:c>
      <x:c r="B9" s="6" t="inlineStr">
        <x:is>
          <x:t xml:space="preserve">8.13 Information backup</x:t>
        </x:is>
      </x:c>
      <x:c r="C9" s="6" t="inlineStr">
        <x:is>
          <x:t xml:space="preserve">Availability and resilience under Art. 32</x:t>
        </x:is>
      </x:c>
      <x:c r="D9" s="6" t="inlineStr">
        <x:is>
          <x:t xml:space="preserve">Backup testing and restore evidence are incomplete</x:t>
        </x:is>
      </x:c>
      <x:c r="E9" s="6" t="inlineStr">
        <x:is>
          <x:t xml:space="preserve">Schedule restore testing, retention reviews, and evidence capture for critical systems</x:t>
        </x:is>
      </x:c>
    </x:row>
    <x:row r="10">
      <x:c r="A10" s="6" t="inlineStr">
        <x:is>
          <x:t xml:space="preserve">Network Segmentation</x:t>
        </x:is>
      </x:c>
      <x:c r="B10" s="6" t="inlineStr">
        <x:is>
          <x:t xml:space="preserve">8.20 Network security</x:t>
        </x:is>
      </x:c>
      <x:c r="C10" s="6" t="inlineStr">
        <x:is>
          <x:t xml:space="preserve">Art. 32 appropriate technical measures</x:t>
        </x:is>
      </x:c>
      <x:c r="D10" s="6" t="inlineStr">
        <x:is>
          <x:t xml:space="preserve">Flat networks increase lateral movement risk</x:t>
        </x:is>
      </x:c>
      <x:c r="E10" s="6" t="inlineStr">
        <x:is>
          <x:t xml:space="preserve">Segment critical systems, restrict east-west traffic, and document firewall rule reviews</x:t>
        </x:is>
      </x:c>
    </x:row>
    <x:row r="11">
      <x:c r="A11" s="6" t="inlineStr">
        <x:is>
          <x:t xml:space="preserve">OT / ICS Security</x:t>
        </x:is>
      </x:c>
      <x:c r="B11" s="6" t="inlineStr">
        <x:is>
          <x:t xml:space="preserve">8.20 Network security; 8.9 Configuration management; 8.19 Installation of software on operational systems</x:t>
        </x:is>
      </x:c>
      <x:c r="C11" s="6" t="inlineStr">
        <x:is>
          <x:t xml:space="preserve">Security of processing / safety-aligned technical measures</x:t>
        </x:is>
      </x:c>
      <x:c r="D11" s="6" t="inlineStr">
        <x:is>
          <x:t xml:space="preserve">Industrial devices lack hardening standards and segmentation review</x:t>
        </x:is>
      </x:c>
      <x:c r="E11" s="6" t="inlineStr">
        <x:is>
          <x:t xml:space="preserve">Define OT baseline hardening, secure remote access, and segmented architecture reviews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4" customWidth="1"/>
    <x:col min="3" max="3" width="22" customWidth="1"/>
    <x:col min="4" max="4" width="36" customWidth="1"/>
    <x:col min="5" max="5" width="20" customWidth="1"/>
    <x:col min="6" max="6" width="24" customWidth="1"/>
    <x:col min="7" max="7" width="12" customWidth="1"/>
    <x:col min="8" max="8" width="10" customWidth="1"/>
    <x:col min="9" max="9" width="12" customWidth="1"/>
    <x:col min="10" max="10" width="12" customWidth="1"/>
    <x:col min="11" max="11" width="16" customWidth="1"/>
    <x:col min="12" max="12" width="15" customWidth="1"/>
    <x:col min="13" max="13" width="14" customWidth="1"/>
    <x:col min="14" max="14" width="12" customWidth="1"/>
    <x:col min="15" max="15" width="12" customWidth="1"/>
    <x:col min="16" max="16" width="32" customWidth="1"/>
    <x:col min="17" max="17" width="28" customWidth="1"/>
    <x:col min="18" max="18" width="30" customWidth="1"/>
    <x:col min="19" max="19" width="34" customWidth="1"/>
    <x:col min="20" max="20" width="20" customWidth="1"/>
    <x:col min="21" max="21" width="14" customWidth="1"/>
    <x:col min="22" max="22" width="14" customWidth="1"/>
    <x:col min="23" max="23" width="28" customWidth="1"/>
  </x:cols>
  <x:sheetData>
    <x:row r="1" ht="34" customHeight="1">
      <x:c r="A1" s="7" t="inlineStr">
        <x:is>
          <x:t xml:space="preserve">Risk ID</x:t>
        </x:is>
      </x:c>
      <x:c r="B1" s="7" t="inlineStr">
        <x:is>
          <x:t xml:space="preserve">Domain</x:t>
        </x:is>
      </x:c>
      <x:c r="C1" s="7" t="inlineStr">
        <x:is>
          <x:t xml:space="preserve">Asset / Process</x:t>
        </x:is>
      </x:c>
      <x:c r="D1" s="7" t="inlineStr">
        <x:is>
          <x:t xml:space="preserve">Risk Statement</x:t>
        </x:is>
      </x:c>
      <x:c r="E1" s="7" t="inlineStr">
        <x:is>
          <x:t xml:space="preserve">Threat Source</x:t>
        </x:is>
      </x:c>
      <x:c r="F1" s="7" t="inlineStr">
        <x:is>
          <x:t xml:space="preserve">Existing Control Status</x:t>
        </x:is>
      </x:c>
      <x:c r="G1" s="7" t="inlineStr">
        <x:is>
          <x:t xml:space="preserve">Likelihood (1-5)</x:t>
        </x:is>
      </x:c>
      <x:c r="H1" s="7" t="inlineStr">
        <x:is>
          <x:t xml:space="preserve">Impact (1-5)</x:t>
        </x:is>
      </x:c>
      <x:c r="I1" s="7" t="inlineStr">
        <x:is>
          <x:t xml:space="preserve">Inherent Score</x:t>
        </x:is>
      </x:c>
      <x:c r="J1" s="7" t="inlineStr">
        <x:is>
          <x:t xml:space="preserve">Inherent Rating</x:t>
        </x:is>
      </x:c>
      <x:c r="K1" s="7" t="inlineStr">
        <x:is>
          <x:t xml:space="preserve">Control Strength (1-5)</x:t>
        </x:is>
      </x:c>
      <x:c r="L1" s="7" t="inlineStr">
        <x:is>
          <x:t xml:space="preserve">Residual Likelihood</x:t>
        </x:is>
      </x:c>
      <x:c r="M1" s="7" t="inlineStr">
        <x:is>
          <x:t xml:space="preserve">Residual Impact</x:t>
        </x:is>
      </x:c>
      <x:c r="N1" s="7" t="inlineStr">
        <x:is>
          <x:t xml:space="preserve">Residual Score</x:t>
        </x:is>
      </x:c>
      <x:c r="O1" s="7" t="inlineStr">
        <x:is>
          <x:t xml:space="preserve">Residual Rating</x:t>
        </x:is>
      </x:c>
      <x:c r="P1" s="7" t="inlineStr">
        <x:is>
          <x:t xml:space="preserve">ISO 27001 Mapping</x:t>
        </x:is>
      </x:c>
      <x:c r="Q1" s="7" t="inlineStr">
        <x:is>
          <x:t xml:space="preserve">UK GDPR / DPA Mapping</x:t>
        </x:is>
      </x:c>
      <x:c r="R1" s="7" t="inlineStr">
        <x:is>
          <x:t xml:space="preserve">Typical Gap / Finding</x:t>
        </x:is>
      </x:c>
      <x:c r="S1" s="7" t="inlineStr">
        <x:is>
          <x:t xml:space="preserve">Recommendation</x:t>
        </x:is>
      </x:c>
      <x:c r="T1" s="7" t="inlineStr">
        <x:is>
          <x:t xml:space="preserve">Owner</x:t>
        </x:is>
      </x:c>
      <x:c r="U1" s="7" t="inlineStr">
        <x:is>
          <x:t xml:space="preserve">Target Date</x:t>
        </x:is>
      </x:c>
      <x:c r="V1" s="7" t="inlineStr">
        <x:is>
          <x:t xml:space="preserve">Status</x:t>
        </x:is>
      </x:c>
      <x:c r="W1" s="7" t="inlineStr">
        <x:is>
          <x:t xml:space="preserve">Evidence / Notes</x:t>
        </x:is>
      </x:c>
    </x:row>
    <x:row r="2">
      <x:c r="A2" s="8" t="str">
        <x:f>IF(B2="","","R-"&amp;TEXT(ROW()-1,"000"))</x:f>
        <x:v>R-001</x:v>
      </x:c>
      <x:c r="B2" s="9" t="inlineStr">
        <x:is>
          <x:t xml:space="preserve">Data Protection / DLP</x:t>
        </x:is>
      </x:c>
      <x:c r="C2" s="9" t="inlineStr">
        <x:is>
          <x:t xml:space="preserve">Microsoft 365 email and OneDrive</x:t>
        </x:is>
      </x:c>
      <x:c r="D2" s="9" t="inlineStr">
        <x:is>
          <x:t xml:space="preserve">Sensitive personal data could be shared externally without approval</x:t>
        </x:is>
      </x:c>
      <x:c r="E2" s="9" t="inlineStr">
        <x:is>
          <x:t xml:space="preserve">Human error / misconfiguration</x:t>
        </x:is>
      </x:c>
      <x:c r="F2" s="9" t="inlineStr">
        <x:is>
          <x:t xml:space="preserve">Basic email controls in place</x:t>
        </x:is>
      </x:c>
      <x:c r="G2" s="9" t="n">
        <x:v>4</x:v>
      </x:c>
      <x:c r="H2" s="9" t="n">
        <x:v>5</x:v>
      </x:c>
      <x:c r="I2" s="8">
        <x:f>IF(OR(G2="",H2=""),"",G2*H2)</x:f>
        <x:v>20</x:v>
      </x:c>
      <x:c r="J2" s="8" t="str">
        <x:f>IF(I2="","",IF(I2&gt;=15,"High",IF(I2&gt;=8,"Medium","Low")))</x:f>
        <x:v>High</x:v>
      </x:c>
      <x:c r="K2" s="9" t="n">
        <x:v>3</x:v>
      </x:c>
      <x:c r="L2" s="8">
        <x:f>IF(OR(G2="",K2=""),"",MAX(1,G2-ROUND(K2/2,0)))</x:f>
        <x:v>2</x:v>
      </x:c>
      <x:c r="M2" s="8">
        <x:f>IF(OR(H2="",K2=""),"",MAX(1,H2-ROUND(K2/3,0)))</x:f>
        <x:v>4</x:v>
      </x:c>
      <x:c r="N2" s="8">
        <x:f>IF(OR(L2="",M2=""),"",L2*M2)</x:f>
        <x:v>8</x:v>
      </x:c>
      <x:c r="O2" s="8" t="str">
        <x:f>IF(N2="","",IF(N2&gt;=15,"High",IF(N2&gt;=8,"Medium","Low")))</x:f>
        <x:v>Medium</x:v>
      </x:c>
      <x:c r="P2" s="8" t="str">
        <x:f>IFERROR(VLOOKUP(B2,Control_Library!$A$2:$E$11,2,FALSE),"")</x:f>
        <x:v>5.12 Classification of information; 5.14 Information transfer; 8.12 Data leakage prevention</x:v>
      </x:c>
      <x:c r="Q2" s="8" t="str">
        <x:f>IFERROR(VLOOKUP(B2,Control_Library!$A$2:$E$11,3,FALSE),"")</x:f>
        <x:v>Lawfulness/fairness/transparency; storage limitation; Art. 32 security of processing</x:v>
      </x:c>
      <x:c r="R2" s="8" t="str">
        <x:f>IFERROR(VLOOKUP(B2,Control_Library!$A$2:$E$11,4,FALSE),"")</x:f>
        <x:v>No formal DLP rules for email and cloud data movement</x:v>
      </x:c>
      <x:c r="S2" s="8" t="str">
        <x:f>IFERROR(VLOOKUP(B2,Control_Library!$A$2:$E$11,5,FALSE),"")</x:f>
        <x:v>Deploy DLP policies, encryption, and approved transfer channels for personal data</x:v>
      </x:c>
      <x:c r="T2" s="9" t="inlineStr">
        <x:is>
          <x:t xml:space="preserve">Data Protection Lead</x:t>
        </x:is>
      </x:c>
      <x:c r="U2" s="10" t="n">
        <x:v>46139.84398644963</x:v>
      </x:c>
      <x:c r="V2" s="9" t="inlineStr">
        <x:is>
          <x:t xml:space="preserve">Open</x:t>
        </x:is>
      </x:c>
      <x:c r="W2" s="9" t="inlineStr">
        <x:is>
          <x:t xml:space="preserve">Sample scenario aligned to Purview / DLP experience</x:t>
        </x:is>
      </x:c>
    </x:row>
    <x:row r="3">
      <x:c r="A3" s="8" t="str">
        <x:f>IF(B3="","","R-"&amp;TEXT(ROW()-1,"000"))</x:f>
        <x:v>R-002</x:v>
      </x:c>
      <x:c r="B3" s="9" t="inlineStr">
        <x:is>
          <x:t xml:space="preserve">Third-Party Risk</x:t>
        </x:is>
      </x:c>
      <x:c r="C3" s="9" t="inlineStr">
        <x:is>
          <x:t xml:space="preserve">Critical SaaS supplier onboarding</x:t>
        </x:is>
      </x:c>
      <x:c r="D3" s="9" t="inlineStr">
        <x:is>
          <x:t xml:space="preserve">A supplier may process data without adequate contractual or security controls</x:t>
        </x:is>
      </x:c>
      <x:c r="E3" s="9" t="inlineStr">
        <x:is>
          <x:t xml:space="preserve">Supplier onboarding gaps</x:t>
        </x:is>
      </x:c>
      <x:c r="F3" s="9" t="inlineStr">
        <x:is>
          <x:t xml:space="preserve">Security review checklist used inconsistently</x:t>
        </x:is>
      </x:c>
      <x:c r="G3" s="9" t="n">
        <x:v>3</x:v>
      </x:c>
      <x:c r="H3" s="9" t="n">
        <x:v>4</x:v>
      </x:c>
      <x:c r="I3" s="8">
        <x:f>IF(OR(G3="",H3=""),"",G3*H3)</x:f>
        <x:v>12</x:v>
      </x:c>
      <x:c r="J3" s="8" t="str">
        <x:f>IF(I3="","",IF(I3&gt;=15,"High",IF(I3&gt;=8,"Medium","Low")))</x:f>
        <x:v>Medium</x:v>
      </x:c>
      <x:c r="K3" s="9" t="n">
        <x:v>2</x:v>
      </x:c>
      <x:c r="L3" s="8">
        <x:f>IF(OR(G3="",K3=""),"",MAX(1,G3-ROUND(K3/2,0)))</x:f>
        <x:v>2</x:v>
      </x:c>
      <x:c r="M3" s="8">
        <x:f>IF(OR(H3="",K3=""),"",MAX(1,H3-ROUND(K3/3,0)))</x:f>
        <x:v>3</x:v>
      </x:c>
      <x:c r="N3" s="8">
        <x:f>IF(OR(L3="",M3=""),"",L3*M3)</x:f>
        <x:v>6</x:v>
      </x:c>
      <x:c r="O3" s="8" t="str">
        <x:f>IF(N3="","",IF(N3&gt;=15,"High",IF(N3&gt;=8,"Medium","Low")))</x:f>
        <x:v>Low</x:v>
      </x:c>
      <x:c r="P3" s="8" t="str">
        <x:f>IFERROR(VLOOKUP(B3,Control_Library!$A$2:$E$11,2,FALSE),"")</x:f>
        <x:v>5.19 Information security in supplier relationships; 5.20 Addressing supplier agreements</x:v>
      </x:c>
      <x:c r="Q3" s="8" t="str">
        <x:f>IFERROR(VLOOKUP(B3,Control_Library!$A$2:$E$11,3,FALSE),"")</x:f>
        <x:v>Processor due diligence; Art. 28 processor obligations</x:v>
      </x:c>
      <x:c r="R3" s="8" t="str">
        <x:f>IFERROR(VLOOKUP(B3,Control_Library!$A$2:$E$11,4,FALSE),"")</x:f>
        <x:v>Supplier security clauses and due diligence are inconsistent</x:v>
      </x:c>
      <x:c r="S3" s="8" t="str">
        <x:f>IFERROR(VLOOKUP(B3,Control_Library!$A$2:$E$11,5,FALSE),"")</x:f>
        <x:v>Introduce vendor risk assessments and standard contractual security requirements</x:v>
      </x:c>
      <x:c r="T3" s="9" t="inlineStr">
        <x:is>
          <x:t xml:space="preserve">Third-Party Manager</x:t>
        </x:is>
      </x:c>
      <x:c r="U3" s="10" t="n">
        <x:v>46154.84398644979</x:v>
      </x:c>
      <x:c r="V3" s="9" t="inlineStr">
        <x:is>
          <x:t xml:space="preserve">In Progress</x:t>
        </x:is>
      </x:c>
      <x:c r="W3" s="9" t="inlineStr">
        <x:is>
          <x:t xml:space="preserve">Use to discuss vendor risk management</x:t>
        </x:is>
      </x:c>
    </x:row>
    <x:row r="4">
      <x:c r="A4" s="8" t="str">
        <x:f>IF(B4="","","R-"&amp;TEXT(ROW()-1,"000"))</x:f>
        <x:v>R-003</x:v>
      </x:c>
      <x:c r="B4" s="9" t="inlineStr">
        <x:is>
          <x:t xml:space="preserve">Logging &amp; Monitoring</x:t>
        </x:is>
      </x:c>
      <x:c r="C4" s="9" t="inlineStr">
        <x:is>
          <x:t xml:space="preserve">Endpoint and cloud audit logs</x:t>
        </x:is>
      </x:c>
      <x:c r="D4" s="9" t="inlineStr">
        <x:is>
          <x:t xml:space="preserve">Insufficient monitoring could delay detection of suspicious activity</x:t>
        </x:is>
      </x:c>
      <x:c r="E4" s="9" t="inlineStr">
        <x:is>
          <x:t xml:space="preserve">Threat actor / insider misuse</x:t>
        </x:is>
      </x:c>
      <x:c r="F4" s="9" t="inlineStr">
        <x:is>
          <x:t xml:space="preserve">CrowdStrike and M365 logs available but not fully centralised</x:t>
        </x:is>
      </x:c>
      <x:c r="G4" s="9" t="n">
        <x:v>4</x:v>
      </x:c>
      <x:c r="H4" s="9" t="n">
        <x:v>4</x:v>
      </x:c>
      <x:c r="I4" s="8">
        <x:f>IF(OR(G4="",H4=""),"",G4*H4)</x:f>
        <x:v>16</x:v>
      </x:c>
      <x:c r="J4" s="8" t="str">
        <x:f>IF(I4="","",IF(I4&gt;=15,"High",IF(I4&gt;=8,"Medium","Low")))</x:f>
        <x:v>High</x:v>
      </x:c>
      <x:c r="K4" s="9" t="n">
        <x:v>3</x:v>
      </x:c>
      <x:c r="L4" s="8">
        <x:f>IF(OR(G4="",K4=""),"",MAX(1,G4-ROUND(K4/2,0)))</x:f>
        <x:v>2</x:v>
      </x:c>
      <x:c r="M4" s="8">
        <x:f>IF(OR(H4="",K4=""),"",MAX(1,H4-ROUND(K4/3,0)))</x:f>
        <x:v>3</x:v>
      </x:c>
      <x:c r="N4" s="8">
        <x:f>IF(OR(L4="",M4=""),"",L4*M4)</x:f>
        <x:v>6</x:v>
      </x:c>
      <x:c r="O4" s="8" t="str">
        <x:f>IF(N4="","",IF(N4&gt;=15,"High",IF(N4&gt;=8,"Medium","Low")))</x:f>
        <x:v>Low</x:v>
      </x:c>
      <x:c r="P4" s="8" t="str">
        <x:f>IFERROR(VLOOKUP(B4,Control_Library!$A$2:$E$11,2,FALSE),"")</x:f>
        <x:v>8.15 Logging; 8.16 Monitoring activities</x:v>
      </x:c>
      <x:c r="Q4" s="8" t="str">
        <x:f>IFERROR(VLOOKUP(B4,Control_Library!$A$2:$E$11,3,FALSE),"")</x:f>
        <x:v>Accountability and security of processing</x:v>
      </x:c>
      <x:c r="R4" s="8" t="str">
        <x:f>IFERROR(VLOOKUP(B4,Control_Library!$A$2:$E$11,4,FALSE),"")</x:f>
        <x:v>Security logs are not centrally retained or regularly reviewed</x:v>
      </x:c>
      <x:c r="S4" s="8" t="str">
        <x:f>IFERROR(VLOOKUP(B4,Control_Library!$A$2:$E$11,5,FALSE),"")</x:f>
        <x:v>Enable central logging, alert tuning, and evidence retention aligned to policy</x:v>
      </x:c>
      <x:c r="T4" s="9" t="inlineStr">
        <x:is>
          <x:t xml:space="preserve">Security Team</x:t>
        </x:is>
      </x:c>
      <x:c r="U4" s="10" t="n">
        <x:v>46130.84398644981</x:v>
      </x:c>
      <x:c r="V4" s="9" t="inlineStr">
        <x:is>
          <x:t xml:space="preserve">Open</x:t>
        </x:is>
      </x:c>
      <x:c r="W4" s="9" t="inlineStr">
        <x:is>
          <x:t xml:space="preserve">Maps to SOC + governance blend</x:t>
        </x:is>
      </x:c>
    </x:row>
    <x:row r="5">
      <x:c r="A5" s="8" t="str">
        <x:f>IF(B5="","","R-"&amp;TEXT(ROW()-1,"000"))</x:f>
        <x:v>R-004</x:v>
      </x:c>
      <x:c r="B5" s="9" t="inlineStr">
        <x:is>
          <x:t xml:space="preserve">OT / ICS Security</x:t>
        </x:is>
      </x:c>
      <x:c r="C5" s="9" t="inlineStr">
        <x:is>
          <x:t xml:space="preserve">Shipboard engineering support network</x:t>
        </x:is>
      </x:c>
      <x:c r="D5" s="9" t="inlineStr">
        <x:is>
          <x:t xml:space="preserve">Weak segmentation or hardening in OT environments could impact operations</x:t>
        </x:is>
      </x:c>
      <x:c r="E5" s="9" t="inlineStr">
        <x:is>
          <x:t xml:space="preserve">Flat network / insecure remote access</x:t>
        </x:is>
      </x:c>
      <x:c r="F5" s="9" t="inlineStr">
        <x:is>
          <x:t xml:space="preserve">Site-specific practices vary</x:t>
        </x:is>
      </x:c>
      <x:c r="G5" s="9" t="n">
        <x:v>3</x:v>
      </x:c>
      <x:c r="H5" s="9" t="n">
        <x:v>5</x:v>
      </x:c>
      <x:c r="I5" s="8">
        <x:f>IF(OR(G5="",H5=""),"",G5*H5)</x:f>
        <x:v>15</x:v>
      </x:c>
      <x:c r="J5" s="8" t="str">
        <x:f>IF(I5="","",IF(I5&gt;=15,"High",IF(I5&gt;=8,"Medium","Low")))</x:f>
        <x:v>High</x:v>
      </x:c>
      <x:c r="K5" s="9" t="n">
        <x:v>2</x:v>
      </x:c>
      <x:c r="L5" s="8">
        <x:f>IF(OR(G5="",K5=""),"",MAX(1,G5-ROUND(K5/2,0)))</x:f>
        <x:v>2</x:v>
      </x:c>
      <x:c r="M5" s="8">
        <x:f>IF(OR(H5="",K5=""),"",MAX(1,H5-ROUND(K5/3,0)))</x:f>
        <x:v>4</x:v>
      </x:c>
      <x:c r="N5" s="8">
        <x:f>IF(OR(L5="",M5=""),"",L5*M5)</x:f>
        <x:v>8</x:v>
      </x:c>
      <x:c r="O5" s="8" t="str">
        <x:f>IF(N5="","",IF(N5&gt;=15,"High",IF(N5&gt;=8,"Medium","Low")))</x:f>
        <x:v>Medium</x:v>
      </x:c>
      <x:c r="P5" s="8" t="str">
        <x:f>IFERROR(VLOOKUP(B5,Control_Library!$A$2:$E$11,2,FALSE),"")</x:f>
        <x:v>8.20 Network security; 8.9 Configuration management; 8.19 Installation of software on operational systems</x:v>
      </x:c>
      <x:c r="Q5" s="8" t="str">
        <x:f>IFERROR(VLOOKUP(B5,Control_Library!$A$2:$E$11,3,FALSE),"")</x:f>
        <x:v>Security of processing / safety-aligned technical measures</x:v>
      </x:c>
      <x:c r="R5" s="8" t="str">
        <x:f>IFERROR(VLOOKUP(B5,Control_Library!$A$2:$E$11,4,FALSE),"")</x:f>
        <x:v>Industrial devices lack hardening standards and segmentation review</x:v>
      </x:c>
      <x:c r="S5" s="8" t="str">
        <x:f>IFERROR(VLOOKUP(B5,Control_Library!$A$2:$E$11,5,FALSE),"")</x:f>
        <x:v>Define OT baseline hardening, secure remote access, and segmented architecture reviews</x:v>
      </x:c>
      <x:c r="T5" s="9" t="inlineStr">
        <x:is>
          <x:t xml:space="preserve">Engineering</x:t>
        </x:is>
      </x:c>
      <x:c r="U5" s="10" t="n">
        <x:v>46169.84398644983</x:v>
      </x:c>
      <x:c r="V5" s="9" t="inlineStr">
        <x:is>
          <x:t xml:space="preserve">Open</x:t>
        </x:is>
      </x:c>
      <x:c r="W5" s="9" t="inlineStr">
        <x:is>
          <x:t xml:space="preserve">Good talking point for IT/OT consulting roles</x:t>
        </x:is>
      </x:c>
    </x:row>
    <x:row r="6">
      <x:c r="A6" s="8">
        <x:f>IF(B6="","","R-"&amp;TEXT(ROW()-1,"000"))</x:f>
      </x:c>
      <x:c r="B6" s="9" t="n"/>
      <x:c r="C6" s="9" t="n"/>
      <x:c r="D6" s="9" t="n"/>
      <x:c r="E6" s="9" t="n"/>
      <x:c r="F6" s="9" t="n"/>
      <x:c r="G6" s="9" t="n"/>
      <x:c r="H6" s="9" t="n"/>
      <x:c r="I6" s="8">
        <x:f>IF(OR(G6="",H6=""),"",G6*H6)</x:f>
      </x:c>
      <x:c r="J6" s="8">
        <x:f>IF(I6="","",IF(I6&gt;=15,"High",IF(I6&gt;=8,"Medium","Low")))</x:f>
      </x:c>
      <x:c r="K6" s="9" t="n"/>
      <x:c r="L6" s="8">
        <x:f>IF(OR(G6="",K6=""),"",MAX(1,G6-ROUND(K6/2,0)))</x:f>
      </x:c>
      <x:c r="M6" s="8">
        <x:f>IF(OR(H6="",K6=""),"",MAX(1,H6-ROUND(K6/3,0)))</x:f>
      </x:c>
      <x:c r="N6" s="8">
        <x:f>IF(OR(L6="",M6=""),"",L6*M6)</x:f>
      </x:c>
      <x:c r="O6" s="8">
        <x:f>IF(N6="","",IF(N6&gt;=15,"High",IF(N6&gt;=8,"Medium","Low")))</x:f>
      </x:c>
      <x:c r="P6" s="8">
        <x:f>IFERROR(VLOOKUP(B6,Control_Library!$A$2:$E$11,2,FALSE),"")</x:f>
      </x:c>
      <x:c r="Q6" s="8">
        <x:f>IFERROR(VLOOKUP(B6,Control_Library!$A$2:$E$11,3,FALSE),"")</x:f>
      </x:c>
      <x:c r="R6" s="8">
        <x:f>IFERROR(VLOOKUP(B6,Control_Library!$A$2:$E$11,4,FALSE),"")</x:f>
      </x:c>
      <x:c r="S6" s="8">
        <x:f>IFERROR(VLOOKUP(B6,Control_Library!$A$2:$E$11,5,FALSE),"")</x:f>
      </x:c>
      <x:c r="T6" s="9" t="n"/>
      <x:c r="U6" s="10" t="n"/>
      <x:c r="V6" s="9" t="n"/>
      <x:c r="W6" s="9" t="n"/>
    </x:row>
    <x:row r="7">
      <x:c r="A7" s="8">
        <x:f>IF(B7="","","R-"&amp;TEXT(ROW()-1,"000"))</x:f>
      </x:c>
      <x:c r="B7" s="9" t="n"/>
      <x:c r="C7" s="9" t="n"/>
      <x:c r="D7" s="9" t="n"/>
      <x:c r="E7" s="9" t="n"/>
      <x:c r="F7" s="9" t="n"/>
      <x:c r="G7" s="9" t="n"/>
      <x:c r="H7" s="9" t="n"/>
      <x:c r="I7" s="8">
        <x:f>IF(OR(G7="",H7=""),"",G7*H7)</x:f>
      </x:c>
      <x:c r="J7" s="8">
        <x:f>IF(I7="","",IF(I7&gt;=15,"High",IF(I7&gt;=8,"Medium","Low")))</x:f>
      </x:c>
      <x:c r="K7" s="9" t="n"/>
      <x:c r="L7" s="8">
        <x:f>IF(OR(G7="",K7=""),"",MAX(1,G7-ROUND(K7/2,0)))</x:f>
      </x:c>
      <x:c r="M7" s="8">
        <x:f>IF(OR(H7="",K7=""),"",MAX(1,H7-ROUND(K7/3,0)))</x:f>
      </x:c>
      <x:c r="N7" s="8">
        <x:f>IF(OR(L7="",M7=""),"",L7*M7)</x:f>
      </x:c>
      <x:c r="O7" s="8">
        <x:f>IF(N7="","",IF(N7&gt;=15,"High",IF(N7&gt;=8,"Medium","Low")))</x:f>
      </x:c>
      <x:c r="P7" s="8">
        <x:f>IFERROR(VLOOKUP(B7,Control_Library!$A$2:$E$11,2,FALSE),"")</x:f>
      </x:c>
      <x:c r="Q7" s="8">
        <x:f>IFERROR(VLOOKUP(B7,Control_Library!$A$2:$E$11,3,FALSE),"")</x:f>
      </x:c>
      <x:c r="R7" s="8">
        <x:f>IFERROR(VLOOKUP(B7,Control_Library!$A$2:$E$11,4,FALSE),"")</x:f>
      </x:c>
      <x:c r="S7" s="8">
        <x:f>IFERROR(VLOOKUP(B7,Control_Library!$A$2:$E$11,5,FALSE),"")</x:f>
      </x:c>
      <x:c r="T7" s="9" t="n"/>
      <x:c r="U7" s="10" t="n"/>
      <x:c r="V7" s="9" t="n"/>
      <x:c r="W7" s="9" t="n"/>
    </x:row>
    <x:row r="8">
      <x:c r="A8" s="8">
        <x:f>IF(B8="","","R-"&amp;TEXT(ROW()-1,"000"))</x:f>
      </x:c>
      <x:c r="B8" s="9" t="n"/>
      <x:c r="C8" s="9" t="n"/>
      <x:c r="D8" s="9" t="n"/>
      <x:c r="E8" s="9" t="n"/>
      <x:c r="F8" s="9" t="n"/>
      <x:c r="G8" s="9" t="n"/>
      <x:c r="H8" s="9" t="n"/>
      <x:c r="I8" s="8">
        <x:f>IF(OR(G8="",H8=""),"",G8*H8)</x:f>
      </x:c>
      <x:c r="J8" s="8">
        <x:f>IF(I8="","",IF(I8&gt;=15,"High",IF(I8&gt;=8,"Medium","Low")))</x:f>
      </x:c>
      <x:c r="K8" s="9" t="n"/>
      <x:c r="L8" s="8">
        <x:f>IF(OR(G8="",K8=""),"",MAX(1,G8-ROUND(K8/2,0)))</x:f>
      </x:c>
      <x:c r="M8" s="8">
        <x:f>IF(OR(H8="",K8=""),"",MAX(1,H8-ROUND(K8/3,0)))</x:f>
      </x:c>
      <x:c r="N8" s="8">
        <x:f>IF(OR(L8="",M8=""),"",L8*M8)</x:f>
      </x:c>
      <x:c r="O8" s="8">
        <x:f>IF(N8="","",IF(N8&gt;=15,"High",IF(N8&gt;=8,"Medium","Low")))</x:f>
      </x:c>
      <x:c r="P8" s="8">
        <x:f>IFERROR(VLOOKUP(B8,Control_Library!$A$2:$E$11,2,FALSE),"")</x:f>
      </x:c>
      <x:c r="Q8" s="8">
        <x:f>IFERROR(VLOOKUP(B8,Control_Library!$A$2:$E$11,3,FALSE),"")</x:f>
      </x:c>
      <x:c r="R8" s="8">
        <x:f>IFERROR(VLOOKUP(B8,Control_Library!$A$2:$E$11,4,FALSE),"")</x:f>
      </x:c>
      <x:c r="S8" s="8">
        <x:f>IFERROR(VLOOKUP(B8,Control_Library!$A$2:$E$11,5,FALSE),"")</x:f>
      </x:c>
      <x:c r="T8" s="9" t="n"/>
      <x:c r="U8" s="10" t="n"/>
      <x:c r="V8" s="9" t="n"/>
      <x:c r="W8" s="9" t="n"/>
    </x:row>
    <x:row r="9">
      <x:c r="A9" s="8">
        <x:f>IF(B9="","","R-"&amp;TEXT(ROW()-1,"000"))</x:f>
      </x:c>
      <x:c r="B9" s="9" t="n"/>
      <x:c r="C9" s="9" t="n"/>
      <x:c r="D9" s="9" t="n"/>
      <x:c r="E9" s="9" t="n"/>
      <x:c r="F9" s="9" t="n"/>
      <x:c r="G9" s="9" t="n"/>
      <x:c r="H9" s="9" t="n"/>
      <x:c r="I9" s="8">
        <x:f>IF(OR(G9="",H9=""),"",G9*H9)</x:f>
      </x:c>
      <x:c r="J9" s="8">
        <x:f>IF(I9="","",IF(I9&gt;=15,"High",IF(I9&gt;=8,"Medium","Low")))</x:f>
      </x:c>
      <x:c r="K9" s="9" t="n"/>
      <x:c r="L9" s="8">
        <x:f>IF(OR(G9="",K9=""),"",MAX(1,G9-ROUND(K9/2,0)))</x:f>
      </x:c>
      <x:c r="M9" s="8">
        <x:f>IF(OR(H9="",K9=""),"",MAX(1,H9-ROUND(K9/3,0)))</x:f>
      </x:c>
      <x:c r="N9" s="8">
        <x:f>IF(OR(L9="",M9=""),"",L9*M9)</x:f>
      </x:c>
      <x:c r="O9" s="8">
        <x:f>IF(N9="","",IF(N9&gt;=15,"High",IF(N9&gt;=8,"Medium","Low")))</x:f>
      </x:c>
      <x:c r="P9" s="8">
        <x:f>IFERROR(VLOOKUP(B9,Control_Library!$A$2:$E$11,2,FALSE),"")</x:f>
      </x:c>
      <x:c r="Q9" s="8">
        <x:f>IFERROR(VLOOKUP(B9,Control_Library!$A$2:$E$11,3,FALSE),"")</x:f>
      </x:c>
      <x:c r="R9" s="8">
        <x:f>IFERROR(VLOOKUP(B9,Control_Library!$A$2:$E$11,4,FALSE),"")</x:f>
      </x:c>
      <x:c r="S9" s="8">
        <x:f>IFERROR(VLOOKUP(B9,Control_Library!$A$2:$E$11,5,FALSE),"")</x:f>
      </x:c>
      <x:c r="T9" s="9" t="n"/>
      <x:c r="U9" s="10" t="n"/>
      <x:c r="V9" s="9" t="n"/>
      <x:c r="W9" s="9" t="n"/>
    </x:row>
    <x:row r="10">
      <x:c r="A10" s="8">
        <x:f>IF(B10="","","R-"&amp;TEXT(ROW()-1,"000"))</x:f>
      </x:c>
      <x:c r="B10" s="9" t="n"/>
      <x:c r="C10" s="9" t="n"/>
      <x:c r="D10" s="9" t="n"/>
      <x:c r="E10" s="9" t="n"/>
      <x:c r="F10" s="9" t="n"/>
      <x:c r="G10" s="9" t="n"/>
      <x:c r="H10" s="9" t="n"/>
      <x:c r="I10" s="8">
        <x:f>IF(OR(G10="",H10=""),"",G10*H10)</x:f>
      </x:c>
      <x:c r="J10" s="8">
        <x:f>IF(I10="","",IF(I10&gt;=15,"High",IF(I10&gt;=8,"Medium","Low")))</x:f>
      </x:c>
      <x:c r="K10" s="9" t="n"/>
      <x:c r="L10" s="8">
        <x:f>IF(OR(G10="",K10=""),"",MAX(1,G10-ROUND(K10/2,0)))</x:f>
      </x:c>
      <x:c r="M10" s="8">
        <x:f>IF(OR(H10="",K10=""),"",MAX(1,H10-ROUND(K10/3,0)))</x:f>
      </x:c>
      <x:c r="N10" s="8">
        <x:f>IF(OR(L10="",M10=""),"",L10*M10)</x:f>
      </x:c>
      <x:c r="O10" s="8">
        <x:f>IF(N10="","",IF(N10&gt;=15,"High",IF(N10&gt;=8,"Medium","Low")))</x:f>
      </x:c>
      <x:c r="P10" s="8">
        <x:f>IFERROR(VLOOKUP(B10,Control_Library!$A$2:$E$11,2,FALSE),"")</x:f>
      </x:c>
      <x:c r="Q10" s="8">
        <x:f>IFERROR(VLOOKUP(B10,Control_Library!$A$2:$E$11,3,FALSE),"")</x:f>
      </x:c>
      <x:c r="R10" s="8">
        <x:f>IFERROR(VLOOKUP(B10,Control_Library!$A$2:$E$11,4,FALSE),"")</x:f>
      </x:c>
      <x:c r="S10" s="8">
        <x:f>IFERROR(VLOOKUP(B10,Control_Library!$A$2:$E$11,5,FALSE),"")</x:f>
      </x:c>
      <x:c r="T10" s="9" t="n"/>
      <x:c r="U10" s="10" t="n"/>
      <x:c r="V10" s="9" t="n"/>
      <x:c r="W10" s="9" t="n"/>
    </x:row>
    <x:row r="11">
      <x:c r="A11" s="8">
        <x:f>IF(B11="","","R-"&amp;TEXT(ROW()-1,"000"))</x:f>
      </x:c>
      <x:c r="B11" s="9" t="n"/>
      <x:c r="C11" s="9" t="n"/>
      <x:c r="D11" s="9" t="n"/>
      <x:c r="E11" s="9" t="n"/>
      <x:c r="F11" s="9" t="n"/>
      <x:c r="G11" s="9" t="n"/>
      <x:c r="H11" s="9" t="n"/>
      <x:c r="I11" s="8">
        <x:f>IF(OR(G11="",H11=""),"",G11*H11)</x:f>
      </x:c>
      <x:c r="J11" s="8">
        <x:f>IF(I11="","",IF(I11&gt;=15,"High",IF(I11&gt;=8,"Medium","Low")))</x:f>
      </x:c>
      <x:c r="K11" s="9" t="n"/>
      <x:c r="L11" s="8">
        <x:f>IF(OR(G11="",K11=""),"",MAX(1,G11-ROUND(K11/2,0)))</x:f>
      </x:c>
      <x:c r="M11" s="8">
        <x:f>IF(OR(H11="",K11=""),"",MAX(1,H11-ROUND(K11/3,0)))</x:f>
      </x:c>
      <x:c r="N11" s="8">
        <x:f>IF(OR(L11="",M11=""),"",L11*M11)</x:f>
      </x:c>
      <x:c r="O11" s="8">
        <x:f>IF(N11="","",IF(N11&gt;=15,"High",IF(N11&gt;=8,"Medium","Low")))</x:f>
      </x:c>
      <x:c r="P11" s="8">
        <x:f>IFERROR(VLOOKUP(B11,Control_Library!$A$2:$E$11,2,FALSE),"")</x:f>
      </x:c>
      <x:c r="Q11" s="8">
        <x:f>IFERROR(VLOOKUP(B11,Control_Library!$A$2:$E$11,3,FALSE),"")</x:f>
      </x:c>
      <x:c r="R11" s="8">
        <x:f>IFERROR(VLOOKUP(B11,Control_Library!$A$2:$E$11,4,FALSE),"")</x:f>
      </x:c>
      <x:c r="S11" s="8">
        <x:f>IFERROR(VLOOKUP(B11,Control_Library!$A$2:$E$11,5,FALSE),"")</x:f>
      </x:c>
      <x:c r="T11" s="9" t="n"/>
      <x:c r="U11" s="10" t="n"/>
      <x:c r="V11" s="9" t="n"/>
      <x:c r="W11" s="9" t="n"/>
    </x:row>
    <x:row r="12">
      <x:c r="A12" s="8">
        <x:f>IF(B12="","","R-"&amp;TEXT(ROW()-1,"000"))</x:f>
      </x:c>
      <x:c r="B12" s="9" t="n"/>
      <x:c r="C12" s="9" t="n"/>
      <x:c r="D12" s="9" t="n"/>
      <x:c r="E12" s="9" t="n"/>
      <x:c r="F12" s="9" t="n"/>
      <x:c r="G12" s="9" t="n"/>
      <x:c r="H12" s="9" t="n"/>
      <x:c r="I12" s="8">
        <x:f>IF(OR(G12="",H12=""),"",G12*H12)</x:f>
      </x:c>
      <x:c r="J12" s="8">
        <x:f>IF(I12="","",IF(I12&gt;=15,"High",IF(I12&gt;=8,"Medium","Low")))</x:f>
      </x:c>
      <x:c r="K12" s="9" t="n"/>
      <x:c r="L12" s="8">
        <x:f>IF(OR(G12="",K12=""),"",MAX(1,G12-ROUND(K12/2,0)))</x:f>
      </x:c>
      <x:c r="M12" s="8">
        <x:f>IF(OR(H12="",K12=""),"",MAX(1,H12-ROUND(K12/3,0)))</x:f>
      </x:c>
      <x:c r="N12" s="8">
        <x:f>IF(OR(L12="",M12=""),"",L12*M12)</x:f>
      </x:c>
      <x:c r="O12" s="8">
        <x:f>IF(N12="","",IF(N12&gt;=15,"High",IF(N12&gt;=8,"Medium","Low")))</x:f>
      </x:c>
      <x:c r="P12" s="8">
        <x:f>IFERROR(VLOOKUP(B12,Control_Library!$A$2:$E$11,2,FALSE),"")</x:f>
      </x:c>
      <x:c r="Q12" s="8">
        <x:f>IFERROR(VLOOKUP(B12,Control_Library!$A$2:$E$11,3,FALSE),"")</x:f>
      </x:c>
      <x:c r="R12" s="8">
        <x:f>IFERROR(VLOOKUP(B12,Control_Library!$A$2:$E$11,4,FALSE),"")</x:f>
      </x:c>
      <x:c r="S12" s="8">
        <x:f>IFERROR(VLOOKUP(B12,Control_Library!$A$2:$E$11,5,FALSE),"")</x:f>
      </x:c>
      <x:c r="T12" s="9" t="n"/>
      <x:c r="U12" s="10" t="n"/>
      <x:c r="V12" s="9" t="n"/>
      <x:c r="W12" s="9" t="n"/>
    </x:row>
    <x:row r="13">
      <x:c r="A13" s="8">
        <x:f>IF(B13="","","R-"&amp;TEXT(ROW()-1,"000"))</x:f>
      </x:c>
      <x:c r="B13" s="9" t="n"/>
      <x:c r="C13" s="9" t="n"/>
      <x:c r="D13" s="9" t="n"/>
      <x:c r="E13" s="9" t="n"/>
      <x:c r="F13" s="9" t="n"/>
      <x:c r="G13" s="9" t="n"/>
      <x:c r="H13" s="9" t="n"/>
      <x:c r="I13" s="8">
        <x:f>IF(OR(G13="",H13=""),"",G13*H13)</x:f>
      </x:c>
      <x:c r="J13" s="8">
        <x:f>IF(I13="","",IF(I13&gt;=15,"High",IF(I13&gt;=8,"Medium","Low")))</x:f>
      </x:c>
      <x:c r="K13" s="9" t="n"/>
      <x:c r="L13" s="8">
        <x:f>IF(OR(G13="",K13=""),"",MAX(1,G13-ROUND(K13/2,0)))</x:f>
      </x:c>
      <x:c r="M13" s="8">
        <x:f>IF(OR(H13="",K13=""),"",MAX(1,H13-ROUND(K13/3,0)))</x:f>
      </x:c>
      <x:c r="N13" s="8">
        <x:f>IF(OR(L13="",M13=""),"",L13*M13)</x:f>
      </x:c>
      <x:c r="O13" s="8">
        <x:f>IF(N13="","",IF(N13&gt;=15,"High",IF(N13&gt;=8,"Medium","Low")))</x:f>
      </x:c>
      <x:c r="P13" s="8">
        <x:f>IFERROR(VLOOKUP(B13,Control_Library!$A$2:$E$11,2,FALSE),"")</x:f>
      </x:c>
      <x:c r="Q13" s="8">
        <x:f>IFERROR(VLOOKUP(B13,Control_Library!$A$2:$E$11,3,FALSE),"")</x:f>
      </x:c>
      <x:c r="R13" s="8">
        <x:f>IFERROR(VLOOKUP(B13,Control_Library!$A$2:$E$11,4,FALSE),"")</x:f>
      </x:c>
      <x:c r="S13" s="8">
        <x:f>IFERROR(VLOOKUP(B13,Control_Library!$A$2:$E$11,5,FALSE),"")</x:f>
      </x:c>
      <x:c r="T13" s="9" t="n"/>
      <x:c r="U13" s="10" t="n"/>
      <x:c r="V13" s="9" t="n"/>
      <x:c r="W13" s="9" t="n"/>
    </x:row>
    <x:row r="14">
      <x:c r="A14" s="8">
        <x:f>IF(B14="","","R-"&amp;TEXT(ROW()-1,"000"))</x:f>
      </x:c>
      <x:c r="B14" s="9" t="n"/>
      <x:c r="C14" s="9" t="n"/>
      <x:c r="D14" s="9" t="n"/>
      <x:c r="E14" s="9" t="n"/>
      <x:c r="F14" s="9" t="n"/>
      <x:c r="G14" s="9" t="n"/>
      <x:c r="H14" s="9" t="n"/>
      <x:c r="I14" s="8">
        <x:f>IF(OR(G14="",H14=""),"",G14*H14)</x:f>
      </x:c>
      <x:c r="J14" s="8">
        <x:f>IF(I14="","",IF(I14&gt;=15,"High",IF(I14&gt;=8,"Medium","Low")))</x:f>
      </x:c>
      <x:c r="K14" s="9" t="n"/>
      <x:c r="L14" s="8">
        <x:f>IF(OR(G14="",K14=""),"",MAX(1,G14-ROUND(K14/2,0)))</x:f>
      </x:c>
      <x:c r="M14" s="8">
        <x:f>IF(OR(H14="",K14=""),"",MAX(1,H14-ROUND(K14/3,0)))</x:f>
      </x:c>
      <x:c r="N14" s="8">
        <x:f>IF(OR(L14="",M14=""),"",L14*M14)</x:f>
      </x:c>
      <x:c r="O14" s="8">
        <x:f>IF(N14="","",IF(N14&gt;=15,"High",IF(N14&gt;=8,"Medium","Low")))</x:f>
      </x:c>
      <x:c r="P14" s="8">
        <x:f>IFERROR(VLOOKUP(B14,Control_Library!$A$2:$E$11,2,FALSE),"")</x:f>
      </x:c>
      <x:c r="Q14" s="8">
        <x:f>IFERROR(VLOOKUP(B14,Control_Library!$A$2:$E$11,3,FALSE),"")</x:f>
      </x:c>
      <x:c r="R14" s="8">
        <x:f>IFERROR(VLOOKUP(B14,Control_Library!$A$2:$E$11,4,FALSE),"")</x:f>
      </x:c>
      <x:c r="S14" s="8">
        <x:f>IFERROR(VLOOKUP(B14,Control_Library!$A$2:$E$11,5,FALSE),"")</x:f>
      </x:c>
      <x:c r="T14" s="9" t="n"/>
      <x:c r="U14" s="10" t="n"/>
      <x:c r="V14" s="9" t="n"/>
      <x:c r="W14" s="9" t="n"/>
    </x:row>
    <x:row r="15">
      <x:c r="A15" s="8">
        <x:f>IF(B15="","","R-"&amp;TEXT(ROW()-1,"000"))</x:f>
      </x:c>
      <x:c r="B15" s="9" t="n"/>
      <x:c r="C15" s="9" t="n"/>
      <x:c r="D15" s="9" t="n"/>
      <x:c r="E15" s="9" t="n"/>
      <x:c r="F15" s="9" t="n"/>
      <x:c r="G15" s="9" t="n"/>
      <x:c r="H15" s="9" t="n"/>
      <x:c r="I15" s="8">
        <x:f>IF(OR(G15="",H15=""),"",G15*H15)</x:f>
      </x:c>
      <x:c r="J15" s="8">
        <x:f>IF(I15="","",IF(I15&gt;=15,"High",IF(I15&gt;=8,"Medium","Low")))</x:f>
      </x:c>
      <x:c r="K15" s="9" t="n"/>
      <x:c r="L15" s="8">
        <x:f>IF(OR(G15="",K15=""),"",MAX(1,G15-ROUND(K15/2,0)))</x:f>
      </x:c>
      <x:c r="M15" s="8">
        <x:f>IF(OR(H15="",K15=""),"",MAX(1,H15-ROUND(K15/3,0)))</x:f>
      </x:c>
      <x:c r="N15" s="8">
        <x:f>IF(OR(L15="",M15=""),"",L15*M15)</x:f>
      </x:c>
      <x:c r="O15" s="8">
        <x:f>IF(N15="","",IF(N15&gt;=15,"High",IF(N15&gt;=8,"Medium","Low")))</x:f>
      </x:c>
      <x:c r="P15" s="8">
        <x:f>IFERROR(VLOOKUP(B15,Control_Library!$A$2:$E$11,2,FALSE),"")</x:f>
      </x:c>
      <x:c r="Q15" s="8">
        <x:f>IFERROR(VLOOKUP(B15,Control_Library!$A$2:$E$11,3,FALSE),"")</x:f>
      </x:c>
      <x:c r="R15" s="8">
        <x:f>IFERROR(VLOOKUP(B15,Control_Library!$A$2:$E$11,4,FALSE),"")</x:f>
      </x:c>
      <x:c r="S15" s="8">
        <x:f>IFERROR(VLOOKUP(B15,Control_Library!$A$2:$E$11,5,FALSE),"")</x:f>
      </x:c>
      <x:c r="T15" s="9" t="n"/>
      <x:c r="U15" s="10" t="n"/>
      <x:c r="V15" s="9" t="n"/>
      <x:c r="W15" s="9" t="n"/>
    </x:row>
    <x:row r="16">
      <x:c r="A16" s="8">
        <x:f>IF(B16="","","R-"&amp;TEXT(ROW()-1,"000"))</x:f>
      </x:c>
      <x:c r="B16" s="9" t="n"/>
      <x:c r="C16" s="9" t="n"/>
      <x:c r="D16" s="9" t="n"/>
      <x:c r="E16" s="9" t="n"/>
      <x:c r="F16" s="9" t="n"/>
      <x:c r="G16" s="9" t="n"/>
      <x:c r="H16" s="9" t="n"/>
      <x:c r="I16" s="8">
        <x:f>IF(OR(G16="",H16=""),"",G16*H16)</x:f>
      </x:c>
      <x:c r="J16" s="8">
        <x:f>IF(I16="","",IF(I16&gt;=15,"High",IF(I16&gt;=8,"Medium","Low")))</x:f>
      </x:c>
      <x:c r="K16" s="9" t="n"/>
      <x:c r="L16" s="8">
        <x:f>IF(OR(G16="",K16=""),"",MAX(1,G16-ROUND(K16/2,0)))</x:f>
      </x:c>
      <x:c r="M16" s="8">
        <x:f>IF(OR(H16="",K16=""),"",MAX(1,H16-ROUND(K16/3,0)))</x:f>
      </x:c>
      <x:c r="N16" s="8">
        <x:f>IF(OR(L16="",M16=""),"",L16*M16)</x:f>
      </x:c>
      <x:c r="O16" s="8">
        <x:f>IF(N16="","",IF(N16&gt;=15,"High",IF(N16&gt;=8,"Medium","Low")))</x:f>
      </x:c>
      <x:c r="P16" s="8">
        <x:f>IFERROR(VLOOKUP(B16,Control_Library!$A$2:$E$11,2,FALSE),"")</x:f>
      </x:c>
      <x:c r="Q16" s="8">
        <x:f>IFERROR(VLOOKUP(B16,Control_Library!$A$2:$E$11,3,FALSE),"")</x:f>
      </x:c>
      <x:c r="R16" s="8">
        <x:f>IFERROR(VLOOKUP(B16,Control_Library!$A$2:$E$11,4,FALSE),"")</x:f>
      </x:c>
      <x:c r="S16" s="8">
        <x:f>IFERROR(VLOOKUP(B16,Control_Library!$A$2:$E$11,5,FALSE),"")</x:f>
      </x:c>
      <x:c r="T16" s="9" t="n"/>
      <x:c r="U16" s="10" t="n"/>
      <x:c r="V16" s="9" t="n"/>
      <x:c r="W16" s="9" t="n"/>
    </x:row>
    <x:row r="17">
      <x:c r="A17" s="8">
        <x:f>IF(B17="","","R-"&amp;TEXT(ROW()-1,"000"))</x:f>
      </x:c>
      <x:c r="B17" s="9" t="n"/>
      <x:c r="C17" s="9" t="n"/>
      <x:c r="D17" s="9" t="n"/>
      <x:c r="E17" s="9" t="n"/>
      <x:c r="F17" s="9" t="n"/>
      <x:c r="G17" s="9" t="n"/>
      <x:c r="H17" s="9" t="n"/>
      <x:c r="I17" s="8">
        <x:f>IF(OR(G17="",H17=""),"",G17*H17)</x:f>
      </x:c>
      <x:c r="J17" s="8">
        <x:f>IF(I17="","",IF(I17&gt;=15,"High",IF(I17&gt;=8,"Medium","Low")))</x:f>
      </x:c>
      <x:c r="K17" s="9" t="n"/>
      <x:c r="L17" s="8">
        <x:f>IF(OR(G17="",K17=""),"",MAX(1,G17-ROUND(K17/2,0)))</x:f>
      </x:c>
      <x:c r="M17" s="8">
        <x:f>IF(OR(H17="",K17=""),"",MAX(1,H17-ROUND(K17/3,0)))</x:f>
      </x:c>
      <x:c r="N17" s="8">
        <x:f>IF(OR(L17="",M17=""),"",L17*M17)</x:f>
      </x:c>
      <x:c r="O17" s="8">
        <x:f>IF(N17="","",IF(N17&gt;=15,"High",IF(N17&gt;=8,"Medium","Low")))</x:f>
      </x:c>
      <x:c r="P17" s="8">
        <x:f>IFERROR(VLOOKUP(B17,Control_Library!$A$2:$E$11,2,FALSE),"")</x:f>
      </x:c>
      <x:c r="Q17" s="8">
        <x:f>IFERROR(VLOOKUP(B17,Control_Library!$A$2:$E$11,3,FALSE),"")</x:f>
      </x:c>
      <x:c r="R17" s="8">
        <x:f>IFERROR(VLOOKUP(B17,Control_Library!$A$2:$E$11,4,FALSE),"")</x:f>
      </x:c>
      <x:c r="S17" s="8">
        <x:f>IFERROR(VLOOKUP(B17,Control_Library!$A$2:$E$11,5,FALSE),"")</x:f>
      </x:c>
      <x:c r="T17" s="9" t="n"/>
      <x:c r="U17" s="10" t="n"/>
      <x:c r="V17" s="9" t="n"/>
      <x:c r="W17" s="9" t="n"/>
    </x:row>
    <x:row r="18">
      <x:c r="A18" s="8">
        <x:f>IF(B18="","","R-"&amp;TEXT(ROW()-1,"000"))</x:f>
      </x:c>
      <x:c r="B18" s="9" t="n"/>
      <x:c r="C18" s="9" t="n"/>
      <x:c r="D18" s="9" t="n"/>
      <x:c r="E18" s="9" t="n"/>
      <x:c r="F18" s="9" t="n"/>
      <x:c r="G18" s="9" t="n"/>
      <x:c r="H18" s="9" t="n"/>
      <x:c r="I18" s="8">
        <x:f>IF(OR(G18="",H18=""),"",G18*H18)</x:f>
      </x:c>
      <x:c r="J18" s="8">
        <x:f>IF(I18="","",IF(I18&gt;=15,"High",IF(I18&gt;=8,"Medium","Low")))</x:f>
      </x:c>
      <x:c r="K18" s="9" t="n"/>
      <x:c r="L18" s="8">
        <x:f>IF(OR(G18="",K18=""),"",MAX(1,G18-ROUND(K18/2,0)))</x:f>
      </x:c>
      <x:c r="M18" s="8">
        <x:f>IF(OR(H18="",K18=""),"",MAX(1,H18-ROUND(K18/3,0)))</x:f>
      </x:c>
      <x:c r="N18" s="8">
        <x:f>IF(OR(L18="",M18=""),"",L18*M18)</x:f>
      </x:c>
      <x:c r="O18" s="8">
        <x:f>IF(N18="","",IF(N18&gt;=15,"High",IF(N18&gt;=8,"Medium","Low")))</x:f>
      </x:c>
      <x:c r="P18" s="8">
        <x:f>IFERROR(VLOOKUP(B18,Control_Library!$A$2:$E$11,2,FALSE),"")</x:f>
      </x:c>
      <x:c r="Q18" s="8">
        <x:f>IFERROR(VLOOKUP(B18,Control_Library!$A$2:$E$11,3,FALSE),"")</x:f>
      </x:c>
      <x:c r="R18" s="8">
        <x:f>IFERROR(VLOOKUP(B18,Control_Library!$A$2:$E$11,4,FALSE),"")</x:f>
      </x:c>
      <x:c r="S18" s="8">
        <x:f>IFERROR(VLOOKUP(B18,Control_Library!$A$2:$E$11,5,FALSE),"")</x:f>
      </x:c>
      <x:c r="T18" s="9" t="n"/>
      <x:c r="U18" s="10" t="n"/>
      <x:c r="V18" s="9" t="n"/>
      <x:c r="W18" s="9" t="n"/>
    </x:row>
    <x:row r="19">
      <x:c r="A19" s="8">
        <x:f>IF(B19="","","R-"&amp;TEXT(ROW()-1,"000"))</x:f>
      </x:c>
      <x:c r="B19" s="9" t="n"/>
      <x:c r="C19" s="9" t="n"/>
      <x:c r="D19" s="9" t="n"/>
      <x:c r="E19" s="9" t="n"/>
      <x:c r="F19" s="9" t="n"/>
      <x:c r="G19" s="9" t="n"/>
      <x:c r="H19" s="9" t="n"/>
      <x:c r="I19" s="8">
        <x:f>IF(OR(G19="",H19=""),"",G19*H19)</x:f>
      </x:c>
      <x:c r="J19" s="8">
        <x:f>IF(I19="","",IF(I19&gt;=15,"High",IF(I19&gt;=8,"Medium","Low")))</x:f>
      </x:c>
      <x:c r="K19" s="9" t="n"/>
      <x:c r="L19" s="8">
        <x:f>IF(OR(G19="",K19=""),"",MAX(1,G19-ROUND(K19/2,0)))</x:f>
      </x:c>
      <x:c r="M19" s="8">
        <x:f>IF(OR(H19="",K19=""),"",MAX(1,H19-ROUND(K19/3,0)))</x:f>
      </x:c>
      <x:c r="N19" s="8">
        <x:f>IF(OR(L19="",M19=""),"",L19*M19)</x:f>
      </x:c>
      <x:c r="O19" s="8">
        <x:f>IF(N19="","",IF(N19&gt;=15,"High",IF(N19&gt;=8,"Medium","Low")))</x:f>
      </x:c>
      <x:c r="P19" s="8">
        <x:f>IFERROR(VLOOKUP(B19,Control_Library!$A$2:$E$11,2,FALSE),"")</x:f>
      </x:c>
      <x:c r="Q19" s="8">
        <x:f>IFERROR(VLOOKUP(B19,Control_Library!$A$2:$E$11,3,FALSE),"")</x:f>
      </x:c>
      <x:c r="R19" s="8">
        <x:f>IFERROR(VLOOKUP(B19,Control_Library!$A$2:$E$11,4,FALSE),"")</x:f>
      </x:c>
      <x:c r="S19" s="8">
        <x:f>IFERROR(VLOOKUP(B19,Control_Library!$A$2:$E$11,5,FALSE),"")</x:f>
      </x:c>
      <x:c r="T19" s="9" t="n"/>
      <x:c r="U19" s="10" t="n"/>
      <x:c r="V19" s="9" t="n"/>
      <x:c r="W19" s="9" t="n"/>
    </x:row>
    <x:row r="20">
      <x:c r="A20" s="8">
        <x:f>IF(B20="","","R-"&amp;TEXT(ROW()-1,"000"))</x:f>
      </x:c>
      <x:c r="B20" s="9" t="n"/>
      <x:c r="C20" s="9" t="n"/>
      <x:c r="D20" s="9" t="n"/>
      <x:c r="E20" s="9" t="n"/>
      <x:c r="F20" s="9" t="n"/>
      <x:c r="G20" s="9" t="n"/>
      <x:c r="H20" s="9" t="n"/>
      <x:c r="I20" s="8">
        <x:f>IF(OR(G20="",H20=""),"",G20*H20)</x:f>
      </x:c>
      <x:c r="J20" s="8">
        <x:f>IF(I20="","",IF(I20&gt;=15,"High",IF(I20&gt;=8,"Medium","Low")))</x:f>
      </x:c>
      <x:c r="K20" s="9" t="n"/>
      <x:c r="L20" s="8">
        <x:f>IF(OR(G20="",K20=""),"",MAX(1,G20-ROUND(K20/2,0)))</x:f>
      </x:c>
      <x:c r="M20" s="8">
        <x:f>IF(OR(H20="",K20=""),"",MAX(1,H20-ROUND(K20/3,0)))</x:f>
      </x:c>
      <x:c r="N20" s="8">
        <x:f>IF(OR(L20="",M20=""),"",L20*M20)</x:f>
      </x:c>
      <x:c r="O20" s="8">
        <x:f>IF(N20="","",IF(N20&gt;=15,"High",IF(N20&gt;=8,"Medium","Low")))</x:f>
      </x:c>
      <x:c r="P20" s="8">
        <x:f>IFERROR(VLOOKUP(B20,Control_Library!$A$2:$E$11,2,FALSE),"")</x:f>
      </x:c>
      <x:c r="Q20" s="8">
        <x:f>IFERROR(VLOOKUP(B20,Control_Library!$A$2:$E$11,3,FALSE),"")</x:f>
      </x:c>
      <x:c r="R20" s="8">
        <x:f>IFERROR(VLOOKUP(B20,Control_Library!$A$2:$E$11,4,FALSE),"")</x:f>
      </x:c>
      <x:c r="S20" s="8">
        <x:f>IFERROR(VLOOKUP(B20,Control_Library!$A$2:$E$11,5,FALSE),"")</x:f>
      </x:c>
      <x:c r="T20" s="9" t="n"/>
      <x:c r="U20" s="10" t="n"/>
      <x:c r="V20" s="9" t="n"/>
      <x:c r="W20" s="9" t="n"/>
    </x:row>
    <x:row r="21">
      <x:c r="A21" s="8">
        <x:f>IF(B21="","","R-"&amp;TEXT(ROW()-1,"000"))</x:f>
      </x:c>
      <x:c r="B21" s="9" t="n"/>
      <x:c r="C21" s="9" t="n"/>
      <x:c r="D21" s="9" t="n"/>
      <x:c r="E21" s="9" t="n"/>
      <x:c r="F21" s="9" t="n"/>
      <x:c r="G21" s="9" t="n"/>
      <x:c r="H21" s="9" t="n"/>
      <x:c r="I21" s="8">
        <x:f>IF(OR(G21="",H21=""),"",G21*H21)</x:f>
      </x:c>
      <x:c r="J21" s="8">
        <x:f>IF(I21="","",IF(I21&gt;=15,"High",IF(I21&gt;=8,"Medium","Low")))</x:f>
      </x:c>
      <x:c r="K21" s="9" t="n"/>
      <x:c r="L21" s="8">
        <x:f>IF(OR(G21="",K21=""),"",MAX(1,G21-ROUND(K21/2,0)))</x:f>
      </x:c>
      <x:c r="M21" s="8">
        <x:f>IF(OR(H21="",K21=""),"",MAX(1,H21-ROUND(K21/3,0)))</x:f>
      </x:c>
      <x:c r="N21" s="8">
        <x:f>IF(OR(L21="",M21=""),"",L21*M21)</x:f>
      </x:c>
      <x:c r="O21" s="8">
        <x:f>IF(N21="","",IF(N21&gt;=15,"High",IF(N21&gt;=8,"Medium","Low")))</x:f>
      </x:c>
      <x:c r="P21" s="8">
        <x:f>IFERROR(VLOOKUP(B21,Control_Library!$A$2:$E$11,2,FALSE),"")</x:f>
      </x:c>
      <x:c r="Q21" s="8">
        <x:f>IFERROR(VLOOKUP(B21,Control_Library!$A$2:$E$11,3,FALSE),"")</x:f>
      </x:c>
      <x:c r="R21" s="8">
        <x:f>IFERROR(VLOOKUP(B21,Control_Library!$A$2:$E$11,4,FALSE),"")</x:f>
      </x:c>
      <x:c r="S21" s="8">
        <x:f>IFERROR(VLOOKUP(B21,Control_Library!$A$2:$E$11,5,FALSE),"")</x:f>
      </x:c>
      <x:c r="T21" s="9" t="n"/>
      <x:c r="U21" s="10" t="n"/>
      <x:c r="V21" s="9" t="n"/>
      <x:c r="W21" s="9" t="n"/>
    </x:row>
    <x:row r="22">
      <x:c r="A22" s="8">
        <x:f>IF(B22="","","R-"&amp;TEXT(ROW()-1,"000"))</x:f>
      </x:c>
      <x:c r="B22" s="9" t="n"/>
      <x:c r="C22" s="9" t="n"/>
      <x:c r="D22" s="9" t="n"/>
      <x:c r="E22" s="9" t="n"/>
      <x:c r="F22" s="9" t="n"/>
      <x:c r="G22" s="9" t="n"/>
      <x:c r="H22" s="9" t="n"/>
      <x:c r="I22" s="8">
        <x:f>IF(OR(G22="",H22=""),"",G22*H22)</x:f>
      </x:c>
      <x:c r="J22" s="8">
        <x:f>IF(I22="","",IF(I22&gt;=15,"High",IF(I22&gt;=8,"Medium","Low")))</x:f>
      </x:c>
      <x:c r="K22" s="9" t="n"/>
      <x:c r="L22" s="8">
        <x:f>IF(OR(G22="",K22=""),"",MAX(1,G22-ROUND(K22/2,0)))</x:f>
      </x:c>
      <x:c r="M22" s="8">
        <x:f>IF(OR(H22="",K22=""),"",MAX(1,H22-ROUND(K22/3,0)))</x:f>
      </x:c>
      <x:c r="N22" s="8">
        <x:f>IF(OR(L22="",M22=""),"",L22*M22)</x:f>
      </x:c>
      <x:c r="O22" s="8">
        <x:f>IF(N22="","",IF(N22&gt;=15,"High",IF(N22&gt;=8,"Medium","Low")))</x:f>
      </x:c>
      <x:c r="P22" s="8">
        <x:f>IFERROR(VLOOKUP(B22,Control_Library!$A$2:$E$11,2,FALSE),"")</x:f>
      </x:c>
      <x:c r="Q22" s="8">
        <x:f>IFERROR(VLOOKUP(B22,Control_Library!$A$2:$E$11,3,FALSE),"")</x:f>
      </x:c>
      <x:c r="R22" s="8">
        <x:f>IFERROR(VLOOKUP(B22,Control_Library!$A$2:$E$11,4,FALSE),"")</x:f>
      </x:c>
      <x:c r="S22" s="8">
        <x:f>IFERROR(VLOOKUP(B22,Control_Library!$A$2:$E$11,5,FALSE),"")</x:f>
      </x:c>
      <x:c r="T22" s="9" t="n"/>
      <x:c r="U22" s="10" t="n"/>
      <x:c r="V22" s="9" t="n"/>
      <x:c r="W22" s="9" t="n"/>
    </x:row>
    <x:row r="23">
      <x:c r="A23" s="8">
        <x:f>IF(B23="","","R-"&amp;TEXT(ROW()-1,"000"))</x:f>
      </x:c>
      <x:c r="B23" s="9" t="n"/>
      <x:c r="C23" s="9" t="n"/>
      <x:c r="D23" s="9" t="n"/>
      <x:c r="E23" s="9" t="n"/>
      <x:c r="F23" s="9" t="n"/>
      <x:c r="G23" s="9" t="n"/>
      <x:c r="H23" s="9" t="n"/>
      <x:c r="I23" s="8">
        <x:f>IF(OR(G23="",H23=""),"",G23*H23)</x:f>
      </x:c>
      <x:c r="J23" s="8">
        <x:f>IF(I23="","",IF(I23&gt;=15,"High",IF(I23&gt;=8,"Medium","Low")))</x:f>
      </x:c>
      <x:c r="K23" s="9" t="n"/>
      <x:c r="L23" s="8">
        <x:f>IF(OR(G23="",K23=""),"",MAX(1,G23-ROUND(K23/2,0)))</x:f>
      </x:c>
      <x:c r="M23" s="8">
        <x:f>IF(OR(H23="",K23=""),"",MAX(1,H23-ROUND(K23/3,0)))</x:f>
      </x:c>
      <x:c r="N23" s="8">
        <x:f>IF(OR(L23="",M23=""),"",L23*M23)</x:f>
      </x:c>
      <x:c r="O23" s="8">
        <x:f>IF(N23="","",IF(N23&gt;=15,"High",IF(N23&gt;=8,"Medium","Low")))</x:f>
      </x:c>
      <x:c r="P23" s="8">
        <x:f>IFERROR(VLOOKUP(B23,Control_Library!$A$2:$E$11,2,FALSE),"")</x:f>
      </x:c>
      <x:c r="Q23" s="8">
        <x:f>IFERROR(VLOOKUP(B23,Control_Library!$A$2:$E$11,3,FALSE),"")</x:f>
      </x:c>
      <x:c r="R23" s="8">
        <x:f>IFERROR(VLOOKUP(B23,Control_Library!$A$2:$E$11,4,FALSE),"")</x:f>
      </x:c>
      <x:c r="S23" s="8">
        <x:f>IFERROR(VLOOKUP(B23,Control_Library!$A$2:$E$11,5,FALSE),"")</x:f>
      </x:c>
      <x:c r="T23" s="9" t="n"/>
      <x:c r="U23" s="10" t="n"/>
      <x:c r="V23" s="9" t="n"/>
      <x:c r="W23" s="9" t="n"/>
    </x:row>
    <x:row r="24">
      <x:c r="A24" s="8">
        <x:f>IF(B24="","","R-"&amp;TEXT(ROW()-1,"000"))</x:f>
      </x:c>
      <x:c r="B24" s="9" t="n"/>
      <x:c r="C24" s="9" t="n"/>
      <x:c r="D24" s="9" t="n"/>
      <x:c r="E24" s="9" t="n"/>
      <x:c r="F24" s="9" t="n"/>
      <x:c r="G24" s="9" t="n"/>
      <x:c r="H24" s="9" t="n"/>
      <x:c r="I24" s="8">
        <x:f>IF(OR(G24="",H24=""),"",G24*H24)</x:f>
      </x:c>
      <x:c r="J24" s="8">
        <x:f>IF(I24="","",IF(I24&gt;=15,"High",IF(I24&gt;=8,"Medium","Low")))</x:f>
      </x:c>
      <x:c r="K24" s="9" t="n"/>
      <x:c r="L24" s="8">
        <x:f>IF(OR(G24="",K24=""),"",MAX(1,G24-ROUND(K24/2,0)))</x:f>
      </x:c>
      <x:c r="M24" s="8">
        <x:f>IF(OR(H24="",K24=""),"",MAX(1,H24-ROUND(K24/3,0)))</x:f>
      </x:c>
      <x:c r="N24" s="8">
        <x:f>IF(OR(L24="",M24=""),"",L24*M24)</x:f>
      </x:c>
      <x:c r="O24" s="8">
        <x:f>IF(N24="","",IF(N24&gt;=15,"High",IF(N24&gt;=8,"Medium","Low")))</x:f>
      </x:c>
      <x:c r="P24" s="8">
        <x:f>IFERROR(VLOOKUP(B24,Control_Library!$A$2:$E$11,2,FALSE),"")</x:f>
      </x:c>
      <x:c r="Q24" s="8">
        <x:f>IFERROR(VLOOKUP(B24,Control_Library!$A$2:$E$11,3,FALSE),"")</x:f>
      </x:c>
      <x:c r="R24" s="8">
        <x:f>IFERROR(VLOOKUP(B24,Control_Library!$A$2:$E$11,4,FALSE),"")</x:f>
      </x:c>
      <x:c r="S24" s="8">
        <x:f>IFERROR(VLOOKUP(B24,Control_Library!$A$2:$E$11,5,FALSE),"")</x:f>
      </x:c>
      <x:c r="T24" s="9" t="n"/>
      <x:c r="U24" s="10" t="n"/>
      <x:c r="V24" s="9" t="n"/>
      <x:c r="W24" s="9" t="n"/>
    </x:row>
    <x:row r="25">
      <x:c r="A25" s="8">
        <x:f>IF(B25="","","R-"&amp;TEXT(ROW()-1,"000"))</x:f>
      </x:c>
      <x:c r="B25" s="9" t="n"/>
      <x:c r="C25" s="9" t="n"/>
      <x:c r="D25" s="9" t="n"/>
      <x:c r="E25" s="9" t="n"/>
      <x:c r="F25" s="9" t="n"/>
      <x:c r="G25" s="9" t="n"/>
      <x:c r="H25" s="9" t="n"/>
      <x:c r="I25" s="8">
        <x:f>IF(OR(G25="",H25=""),"",G25*H25)</x:f>
      </x:c>
      <x:c r="J25" s="8">
        <x:f>IF(I25="","",IF(I25&gt;=15,"High",IF(I25&gt;=8,"Medium","Low")))</x:f>
      </x:c>
      <x:c r="K25" s="9" t="n"/>
      <x:c r="L25" s="8">
        <x:f>IF(OR(G25="",K25=""),"",MAX(1,G25-ROUND(K25/2,0)))</x:f>
      </x:c>
      <x:c r="M25" s="8">
        <x:f>IF(OR(H25="",K25=""),"",MAX(1,H25-ROUND(K25/3,0)))</x:f>
      </x:c>
      <x:c r="N25" s="8">
        <x:f>IF(OR(L25="",M25=""),"",L25*M25)</x:f>
      </x:c>
      <x:c r="O25" s="8">
        <x:f>IF(N25="","",IF(N25&gt;=15,"High",IF(N25&gt;=8,"Medium","Low")))</x:f>
      </x:c>
      <x:c r="P25" s="8">
        <x:f>IFERROR(VLOOKUP(B25,Control_Library!$A$2:$E$11,2,FALSE),"")</x:f>
      </x:c>
      <x:c r="Q25" s="8">
        <x:f>IFERROR(VLOOKUP(B25,Control_Library!$A$2:$E$11,3,FALSE),"")</x:f>
      </x:c>
      <x:c r="R25" s="8">
        <x:f>IFERROR(VLOOKUP(B25,Control_Library!$A$2:$E$11,4,FALSE),"")</x:f>
      </x:c>
      <x:c r="S25" s="8">
        <x:f>IFERROR(VLOOKUP(B25,Control_Library!$A$2:$E$11,5,FALSE),"")</x:f>
      </x:c>
      <x:c r="T25" s="9" t="n"/>
      <x:c r="U25" s="10" t="n"/>
      <x:c r="V25" s="9" t="n"/>
      <x:c r="W25" s="9" t="n"/>
    </x:row>
    <x:row r="26">
      <x:c r="A26" s="8">
        <x:f>IF(B26="","","R-"&amp;TEXT(ROW()-1,"000"))</x:f>
      </x:c>
      <x:c r="B26" s="9" t="n"/>
      <x:c r="C26" s="9" t="n"/>
      <x:c r="D26" s="9" t="n"/>
      <x:c r="E26" s="9" t="n"/>
      <x:c r="F26" s="9" t="n"/>
      <x:c r="G26" s="9" t="n"/>
      <x:c r="H26" s="9" t="n"/>
      <x:c r="I26" s="8">
        <x:f>IF(OR(G26="",H26=""),"",G26*H26)</x:f>
      </x:c>
      <x:c r="J26" s="8">
        <x:f>IF(I26="","",IF(I26&gt;=15,"High",IF(I26&gt;=8,"Medium","Low")))</x:f>
      </x:c>
      <x:c r="K26" s="9" t="n"/>
      <x:c r="L26" s="8">
        <x:f>IF(OR(G26="",K26=""),"",MAX(1,G26-ROUND(K26/2,0)))</x:f>
      </x:c>
      <x:c r="M26" s="8">
        <x:f>IF(OR(H26="",K26=""),"",MAX(1,H26-ROUND(K26/3,0)))</x:f>
      </x:c>
      <x:c r="N26" s="8">
        <x:f>IF(OR(L26="",M26=""),"",L26*M26)</x:f>
      </x:c>
      <x:c r="O26" s="8">
        <x:f>IF(N26="","",IF(N26&gt;=15,"High",IF(N26&gt;=8,"Medium","Low")))</x:f>
      </x:c>
      <x:c r="P26" s="8">
        <x:f>IFERROR(VLOOKUP(B26,Control_Library!$A$2:$E$11,2,FALSE),"")</x:f>
      </x:c>
      <x:c r="Q26" s="8">
        <x:f>IFERROR(VLOOKUP(B26,Control_Library!$A$2:$E$11,3,FALSE),"")</x:f>
      </x:c>
      <x:c r="R26" s="8">
        <x:f>IFERROR(VLOOKUP(B26,Control_Library!$A$2:$E$11,4,FALSE),"")</x:f>
      </x:c>
      <x:c r="S26" s="8">
        <x:f>IFERROR(VLOOKUP(B26,Control_Library!$A$2:$E$11,5,FALSE),"")</x:f>
      </x:c>
      <x:c r="T26" s="9" t="n"/>
      <x:c r="U26" s="10" t="n"/>
      <x:c r="V26" s="9" t="n"/>
      <x:c r="W26" s="9" t="n"/>
    </x:row>
    <x:row r="27">
      <x:c r="A27" s="8">
        <x:f>IF(B27="","","R-"&amp;TEXT(ROW()-1,"000"))</x:f>
      </x:c>
      <x:c r="B27" s="9" t="n"/>
      <x:c r="C27" s="9" t="n"/>
      <x:c r="D27" s="9" t="n"/>
      <x:c r="E27" s="9" t="n"/>
      <x:c r="F27" s="9" t="n"/>
      <x:c r="G27" s="9" t="n"/>
      <x:c r="H27" s="9" t="n"/>
      <x:c r="I27" s="8">
        <x:f>IF(OR(G27="",H27=""),"",G27*H27)</x:f>
      </x:c>
      <x:c r="J27" s="8">
        <x:f>IF(I27="","",IF(I27&gt;=15,"High",IF(I27&gt;=8,"Medium","Low")))</x:f>
      </x:c>
      <x:c r="K27" s="9" t="n"/>
      <x:c r="L27" s="8">
        <x:f>IF(OR(G27="",K27=""),"",MAX(1,G27-ROUND(K27/2,0)))</x:f>
      </x:c>
      <x:c r="M27" s="8">
        <x:f>IF(OR(H27="",K27=""),"",MAX(1,H27-ROUND(K27/3,0)))</x:f>
      </x:c>
      <x:c r="N27" s="8">
        <x:f>IF(OR(L27="",M27=""),"",L27*M27)</x:f>
      </x:c>
      <x:c r="O27" s="8">
        <x:f>IF(N27="","",IF(N27&gt;=15,"High",IF(N27&gt;=8,"Medium","Low")))</x:f>
      </x:c>
      <x:c r="P27" s="8">
        <x:f>IFERROR(VLOOKUP(B27,Control_Library!$A$2:$E$11,2,FALSE),"")</x:f>
      </x:c>
      <x:c r="Q27" s="8">
        <x:f>IFERROR(VLOOKUP(B27,Control_Library!$A$2:$E$11,3,FALSE),"")</x:f>
      </x:c>
      <x:c r="R27" s="8">
        <x:f>IFERROR(VLOOKUP(B27,Control_Library!$A$2:$E$11,4,FALSE),"")</x:f>
      </x:c>
      <x:c r="S27" s="8">
        <x:f>IFERROR(VLOOKUP(B27,Control_Library!$A$2:$E$11,5,FALSE),"")</x:f>
      </x:c>
      <x:c r="T27" s="9" t="n"/>
      <x:c r="U27" s="10" t="n"/>
      <x:c r="V27" s="9" t="n"/>
      <x:c r="W27" s="9" t="n"/>
    </x:row>
    <x:row r="28">
      <x:c r="A28" s="8">
        <x:f>IF(B28="","","R-"&amp;TEXT(ROW()-1,"000"))</x:f>
      </x:c>
      <x:c r="B28" s="9" t="n"/>
      <x:c r="C28" s="9" t="n"/>
      <x:c r="D28" s="9" t="n"/>
      <x:c r="E28" s="9" t="n"/>
      <x:c r="F28" s="9" t="n"/>
      <x:c r="G28" s="9" t="n"/>
      <x:c r="H28" s="9" t="n"/>
      <x:c r="I28" s="8">
        <x:f>IF(OR(G28="",H28=""),"",G28*H28)</x:f>
      </x:c>
      <x:c r="J28" s="8">
        <x:f>IF(I28="","",IF(I28&gt;=15,"High",IF(I28&gt;=8,"Medium","Low")))</x:f>
      </x:c>
      <x:c r="K28" s="9" t="n"/>
      <x:c r="L28" s="8">
        <x:f>IF(OR(G28="",K28=""),"",MAX(1,G28-ROUND(K28/2,0)))</x:f>
      </x:c>
      <x:c r="M28" s="8">
        <x:f>IF(OR(H28="",K28=""),"",MAX(1,H28-ROUND(K28/3,0)))</x:f>
      </x:c>
      <x:c r="N28" s="8">
        <x:f>IF(OR(L28="",M28=""),"",L28*M28)</x:f>
      </x:c>
      <x:c r="O28" s="8">
        <x:f>IF(N28="","",IF(N28&gt;=15,"High",IF(N28&gt;=8,"Medium","Low")))</x:f>
      </x:c>
      <x:c r="P28" s="8">
        <x:f>IFERROR(VLOOKUP(B28,Control_Library!$A$2:$E$11,2,FALSE),"")</x:f>
      </x:c>
      <x:c r="Q28" s="8">
        <x:f>IFERROR(VLOOKUP(B28,Control_Library!$A$2:$E$11,3,FALSE),"")</x:f>
      </x:c>
      <x:c r="R28" s="8">
        <x:f>IFERROR(VLOOKUP(B28,Control_Library!$A$2:$E$11,4,FALSE),"")</x:f>
      </x:c>
      <x:c r="S28" s="8">
        <x:f>IFERROR(VLOOKUP(B28,Control_Library!$A$2:$E$11,5,FALSE),"")</x:f>
      </x:c>
      <x:c r="T28" s="9" t="n"/>
      <x:c r="U28" s="10" t="n"/>
      <x:c r="V28" s="9" t="n"/>
      <x:c r="W28" s="9" t="n"/>
    </x:row>
    <x:row r="29">
      <x:c r="A29" s="8">
        <x:f>IF(B29="","","R-"&amp;TEXT(ROW()-1,"000"))</x:f>
      </x:c>
      <x:c r="B29" s="9" t="n"/>
      <x:c r="C29" s="9" t="n"/>
      <x:c r="D29" s="9" t="n"/>
      <x:c r="E29" s="9" t="n"/>
      <x:c r="F29" s="9" t="n"/>
      <x:c r="G29" s="9" t="n"/>
      <x:c r="H29" s="9" t="n"/>
      <x:c r="I29" s="8">
        <x:f>IF(OR(G29="",H29=""),"",G29*H29)</x:f>
      </x:c>
      <x:c r="J29" s="8">
        <x:f>IF(I29="","",IF(I29&gt;=15,"High",IF(I29&gt;=8,"Medium","Low")))</x:f>
      </x:c>
      <x:c r="K29" s="9" t="n"/>
      <x:c r="L29" s="8">
        <x:f>IF(OR(G29="",K29=""),"",MAX(1,G29-ROUND(K29/2,0)))</x:f>
      </x:c>
      <x:c r="M29" s="8">
        <x:f>IF(OR(H29="",K29=""),"",MAX(1,H29-ROUND(K29/3,0)))</x:f>
      </x:c>
      <x:c r="N29" s="8">
        <x:f>IF(OR(L29="",M29=""),"",L29*M29)</x:f>
      </x:c>
      <x:c r="O29" s="8">
        <x:f>IF(N29="","",IF(N29&gt;=15,"High",IF(N29&gt;=8,"Medium","Low")))</x:f>
      </x:c>
      <x:c r="P29" s="8">
        <x:f>IFERROR(VLOOKUP(B29,Control_Library!$A$2:$E$11,2,FALSE),"")</x:f>
      </x:c>
      <x:c r="Q29" s="8">
        <x:f>IFERROR(VLOOKUP(B29,Control_Library!$A$2:$E$11,3,FALSE),"")</x:f>
      </x:c>
      <x:c r="R29" s="8">
        <x:f>IFERROR(VLOOKUP(B29,Control_Library!$A$2:$E$11,4,FALSE),"")</x:f>
      </x:c>
      <x:c r="S29" s="8">
        <x:f>IFERROR(VLOOKUP(B29,Control_Library!$A$2:$E$11,5,FALSE),"")</x:f>
      </x:c>
      <x:c r="T29" s="9" t="n"/>
      <x:c r="U29" s="10" t="n"/>
      <x:c r="V29" s="9" t="n"/>
      <x:c r="W29" s="9" t="n"/>
    </x:row>
    <x:row r="30">
      <x:c r="A30" s="8">
        <x:f>IF(B30="","","R-"&amp;TEXT(ROW()-1,"000"))</x:f>
      </x:c>
      <x:c r="B30" s="9" t="n"/>
      <x:c r="C30" s="9" t="n"/>
      <x:c r="D30" s="9" t="n"/>
      <x:c r="E30" s="9" t="n"/>
      <x:c r="F30" s="9" t="n"/>
      <x:c r="G30" s="9" t="n"/>
      <x:c r="H30" s="9" t="n"/>
      <x:c r="I30" s="8">
        <x:f>IF(OR(G30="",H30=""),"",G30*H30)</x:f>
      </x:c>
      <x:c r="J30" s="8">
        <x:f>IF(I30="","",IF(I30&gt;=15,"High",IF(I30&gt;=8,"Medium","Low")))</x:f>
      </x:c>
      <x:c r="K30" s="9" t="n"/>
      <x:c r="L30" s="8">
        <x:f>IF(OR(G30="",K30=""),"",MAX(1,G30-ROUND(K30/2,0)))</x:f>
      </x:c>
      <x:c r="M30" s="8">
        <x:f>IF(OR(H30="",K30=""),"",MAX(1,H30-ROUND(K30/3,0)))</x:f>
      </x:c>
      <x:c r="N30" s="8">
        <x:f>IF(OR(L30="",M30=""),"",L30*M30)</x:f>
      </x:c>
      <x:c r="O30" s="8">
        <x:f>IF(N30="","",IF(N30&gt;=15,"High",IF(N30&gt;=8,"Medium","Low")))</x:f>
      </x:c>
      <x:c r="P30" s="8">
        <x:f>IFERROR(VLOOKUP(B30,Control_Library!$A$2:$E$11,2,FALSE),"")</x:f>
      </x:c>
      <x:c r="Q30" s="8">
        <x:f>IFERROR(VLOOKUP(B30,Control_Library!$A$2:$E$11,3,FALSE),"")</x:f>
      </x:c>
      <x:c r="R30" s="8">
        <x:f>IFERROR(VLOOKUP(B30,Control_Library!$A$2:$E$11,4,FALSE),"")</x:f>
      </x:c>
      <x:c r="S30" s="8">
        <x:f>IFERROR(VLOOKUP(B30,Control_Library!$A$2:$E$11,5,FALSE),"")</x:f>
      </x:c>
      <x:c r="T30" s="9" t="n"/>
      <x:c r="U30" s="10" t="n"/>
      <x:c r="V30" s="9" t="n"/>
      <x:c r="W30" s="9" t="n"/>
    </x:row>
    <x:row r="31">
      <x:c r="A31" s="8">
        <x:f>IF(B31="","","R-"&amp;TEXT(ROW()-1,"000"))</x:f>
      </x:c>
      <x:c r="B31" s="9" t="n"/>
      <x:c r="C31" s="9" t="n"/>
      <x:c r="D31" s="9" t="n"/>
      <x:c r="E31" s="9" t="n"/>
      <x:c r="F31" s="9" t="n"/>
      <x:c r="G31" s="9" t="n"/>
      <x:c r="H31" s="9" t="n"/>
      <x:c r="I31" s="8">
        <x:f>IF(OR(G31="",H31=""),"",G31*H31)</x:f>
      </x:c>
      <x:c r="J31" s="8">
        <x:f>IF(I31="","",IF(I31&gt;=15,"High",IF(I31&gt;=8,"Medium","Low")))</x:f>
      </x:c>
      <x:c r="K31" s="9" t="n"/>
      <x:c r="L31" s="8">
        <x:f>IF(OR(G31="",K31=""),"",MAX(1,G31-ROUND(K31/2,0)))</x:f>
      </x:c>
      <x:c r="M31" s="8">
        <x:f>IF(OR(H31="",K31=""),"",MAX(1,H31-ROUND(K31/3,0)))</x:f>
      </x:c>
      <x:c r="N31" s="8">
        <x:f>IF(OR(L31="",M31=""),"",L31*M31)</x:f>
      </x:c>
      <x:c r="O31" s="8">
        <x:f>IF(N31="","",IF(N31&gt;=15,"High",IF(N31&gt;=8,"Medium","Low")))</x:f>
      </x:c>
      <x:c r="P31" s="8">
        <x:f>IFERROR(VLOOKUP(B31,Control_Library!$A$2:$E$11,2,FALSE),"")</x:f>
      </x:c>
      <x:c r="Q31" s="8">
        <x:f>IFERROR(VLOOKUP(B31,Control_Library!$A$2:$E$11,3,FALSE),"")</x:f>
      </x:c>
      <x:c r="R31" s="8">
        <x:f>IFERROR(VLOOKUP(B31,Control_Library!$A$2:$E$11,4,FALSE),"")</x:f>
      </x:c>
      <x:c r="S31" s="8">
        <x:f>IFERROR(VLOOKUP(B31,Control_Library!$A$2:$E$11,5,FALSE),"")</x:f>
      </x:c>
      <x:c r="T31" s="9" t="n"/>
      <x:c r="U31" s="10" t="n"/>
      <x:c r="V31" s="9" t="n"/>
      <x:c r="W31" s="9" t="n"/>
    </x:row>
    <x:row r="32">
      <x:c r="A32" s="8">
        <x:f>IF(B32="","","R-"&amp;TEXT(ROW()-1,"000"))</x:f>
      </x:c>
      <x:c r="B32" s="9" t="n"/>
      <x:c r="C32" s="9" t="n"/>
      <x:c r="D32" s="9" t="n"/>
      <x:c r="E32" s="9" t="n"/>
      <x:c r="F32" s="9" t="n"/>
      <x:c r="G32" s="9" t="n"/>
      <x:c r="H32" s="9" t="n"/>
      <x:c r="I32" s="8">
        <x:f>IF(OR(G32="",H32=""),"",G32*H32)</x:f>
      </x:c>
      <x:c r="J32" s="8">
        <x:f>IF(I32="","",IF(I32&gt;=15,"High",IF(I32&gt;=8,"Medium","Low")))</x:f>
      </x:c>
      <x:c r="K32" s="9" t="n"/>
      <x:c r="L32" s="8">
        <x:f>IF(OR(G32="",K32=""),"",MAX(1,G32-ROUND(K32/2,0)))</x:f>
      </x:c>
      <x:c r="M32" s="8">
        <x:f>IF(OR(H32="",K32=""),"",MAX(1,H32-ROUND(K32/3,0)))</x:f>
      </x:c>
      <x:c r="N32" s="8">
        <x:f>IF(OR(L32="",M32=""),"",L32*M32)</x:f>
      </x:c>
      <x:c r="O32" s="8">
        <x:f>IF(N32="","",IF(N32&gt;=15,"High",IF(N32&gt;=8,"Medium","Low")))</x:f>
      </x:c>
      <x:c r="P32" s="8">
        <x:f>IFERROR(VLOOKUP(B32,Control_Library!$A$2:$E$11,2,FALSE),"")</x:f>
      </x:c>
      <x:c r="Q32" s="8">
        <x:f>IFERROR(VLOOKUP(B32,Control_Library!$A$2:$E$11,3,FALSE),"")</x:f>
      </x:c>
      <x:c r="R32" s="8">
        <x:f>IFERROR(VLOOKUP(B32,Control_Library!$A$2:$E$11,4,FALSE),"")</x:f>
      </x:c>
      <x:c r="S32" s="8">
        <x:f>IFERROR(VLOOKUP(B32,Control_Library!$A$2:$E$11,5,FALSE),"")</x:f>
      </x:c>
      <x:c r="T32" s="9" t="n"/>
      <x:c r="U32" s="10" t="n"/>
      <x:c r="V32" s="9" t="n"/>
      <x:c r="W32" s="9" t="n"/>
    </x:row>
    <x:row r="33">
      <x:c r="A33" s="8">
        <x:f>IF(B33="","","R-"&amp;TEXT(ROW()-1,"000"))</x:f>
      </x:c>
      <x:c r="B33" s="9" t="n"/>
      <x:c r="C33" s="9" t="n"/>
      <x:c r="D33" s="9" t="n"/>
      <x:c r="E33" s="9" t="n"/>
      <x:c r="F33" s="9" t="n"/>
      <x:c r="G33" s="9" t="n"/>
      <x:c r="H33" s="9" t="n"/>
      <x:c r="I33" s="8">
        <x:f>IF(OR(G33="",H33=""),"",G33*H33)</x:f>
      </x:c>
      <x:c r="J33" s="8">
        <x:f>IF(I33="","",IF(I33&gt;=15,"High",IF(I33&gt;=8,"Medium","Low")))</x:f>
      </x:c>
      <x:c r="K33" s="9" t="n"/>
      <x:c r="L33" s="8">
        <x:f>IF(OR(G33="",K33=""),"",MAX(1,G33-ROUND(K33/2,0)))</x:f>
      </x:c>
      <x:c r="M33" s="8">
        <x:f>IF(OR(H33="",K33=""),"",MAX(1,H33-ROUND(K33/3,0)))</x:f>
      </x:c>
      <x:c r="N33" s="8">
        <x:f>IF(OR(L33="",M33=""),"",L33*M33)</x:f>
      </x:c>
      <x:c r="O33" s="8">
        <x:f>IF(N33="","",IF(N33&gt;=15,"High",IF(N33&gt;=8,"Medium","Low")))</x:f>
      </x:c>
      <x:c r="P33" s="8">
        <x:f>IFERROR(VLOOKUP(B33,Control_Library!$A$2:$E$11,2,FALSE),"")</x:f>
      </x:c>
      <x:c r="Q33" s="8">
        <x:f>IFERROR(VLOOKUP(B33,Control_Library!$A$2:$E$11,3,FALSE),"")</x:f>
      </x:c>
      <x:c r="R33" s="8">
        <x:f>IFERROR(VLOOKUP(B33,Control_Library!$A$2:$E$11,4,FALSE),"")</x:f>
      </x:c>
      <x:c r="S33" s="8">
        <x:f>IFERROR(VLOOKUP(B33,Control_Library!$A$2:$E$11,5,FALSE),"")</x:f>
      </x:c>
      <x:c r="T33" s="9" t="n"/>
      <x:c r="U33" s="10" t="n"/>
      <x:c r="V33" s="9" t="n"/>
      <x:c r="W33" s="9" t="n"/>
    </x:row>
    <x:row r="34">
      <x:c r="A34" s="8">
        <x:f>IF(B34="","","R-"&amp;TEXT(ROW()-1,"000"))</x:f>
      </x:c>
      <x:c r="B34" s="9" t="n"/>
      <x:c r="C34" s="9" t="n"/>
      <x:c r="D34" s="9" t="n"/>
      <x:c r="E34" s="9" t="n"/>
      <x:c r="F34" s="9" t="n"/>
      <x:c r="G34" s="9" t="n"/>
      <x:c r="H34" s="9" t="n"/>
      <x:c r="I34" s="8">
        <x:f>IF(OR(G34="",H34=""),"",G34*H34)</x:f>
      </x:c>
      <x:c r="J34" s="8">
        <x:f>IF(I34="","",IF(I34&gt;=15,"High",IF(I34&gt;=8,"Medium","Low")))</x:f>
      </x:c>
      <x:c r="K34" s="9" t="n"/>
      <x:c r="L34" s="8">
        <x:f>IF(OR(G34="",K34=""),"",MAX(1,G34-ROUND(K34/2,0)))</x:f>
      </x:c>
      <x:c r="M34" s="8">
        <x:f>IF(OR(H34="",K34=""),"",MAX(1,H34-ROUND(K34/3,0)))</x:f>
      </x:c>
      <x:c r="N34" s="8">
        <x:f>IF(OR(L34="",M34=""),"",L34*M34)</x:f>
      </x:c>
      <x:c r="O34" s="8">
        <x:f>IF(N34="","",IF(N34&gt;=15,"High",IF(N34&gt;=8,"Medium","Low")))</x:f>
      </x:c>
      <x:c r="P34" s="8">
        <x:f>IFERROR(VLOOKUP(B34,Control_Library!$A$2:$E$11,2,FALSE),"")</x:f>
      </x:c>
      <x:c r="Q34" s="8">
        <x:f>IFERROR(VLOOKUP(B34,Control_Library!$A$2:$E$11,3,FALSE),"")</x:f>
      </x:c>
      <x:c r="R34" s="8">
        <x:f>IFERROR(VLOOKUP(B34,Control_Library!$A$2:$E$11,4,FALSE),"")</x:f>
      </x:c>
      <x:c r="S34" s="8">
        <x:f>IFERROR(VLOOKUP(B34,Control_Library!$A$2:$E$11,5,FALSE),"")</x:f>
      </x:c>
      <x:c r="T34" s="9" t="n"/>
      <x:c r="U34" s="10" t="n"/>
      <x:c r="V34" s="9" t="n"/>
      <x:c r="W34" s="9" t="n"/>
    </x:row>
    <x:row r="35">
      <x:c r="A35" s="8">
        <x:f>IF(B35="","","R-"&amp;TEXT(ROW()-1,"000"))</x:f>
      </x:c>
      <x:c r="B35" s="9" t="n"/>
      <x:c r="C35" s="9" t="n"/>
      <x:c r="D35" s="9" t="n"/>
      <x:c r="E35" s="9" t="n"/>
      <x:c r="F35" s="9" t="n"/>
      <x:c r="G35" s="9" t="n"/>
      <x:c r="H35" s="9" t="n"/>
      <x:c r="I35" s="8">
        <x:f>IF(OR(G35="",H35=""),"",G35*H35)</x:f>
      </x:c>
      <x:c r="J35" s="8">
        <x:f>IF(I35="","",IF(I35&gt;=15,"High",IF(I35&gt;=8,"Medium","Low")))</x:f>
      </x:c>
      <x:c r="K35" s="9" t="n"/>
      <x:c r="L35" s="8">
        <x:f>IF(OR(G35="",K35=""),"",MAX(1,G35-ROUND(K35/2,0)))</x:f>
      </x:c>
      <x:c r="M35" s="8">
        <x:f>IF(OR(H35="",K35=""),"",MAX(1,H35-ROUND(K35/3,0)))</x:f>
      </x:c>
      <x:c r="N35" s="8">
        <x:f>IF(OR(L35="",M35=""),"",L35*M35)</x:f>
      </x:c>
      <x:c r="O35" s="8">
        <x:f>IF(N35="","",IF(N35&gt;=15,"High",IF(N35&gt;=8,"Medium","Low")))</x:f>
      </x:c>
      <x:c r="P35" s="8">
        <x:f>IFERROR(VLOOKUP(B35,Control_Library!$A$2:$E$11,2,FALSE),"")</x:f>
      </x:c>
      <x:c r="Q35" s="8">
        <x:f>IFERROR(VLOOKUP(B35,Control_Library!$A$2:$E$11,3,FALSE),"")</x:f>
      </x:c>
      <x:c r="R35" s="8">
        <x:f>IFERROR(VLOOKUP(B35,Control_Library!$A$2:$E$11,4,FALSE),"")</x:f>
      </x:c>
      <x:c r="S35" s="8">
        <x:f>IFERROR(VLOOKUP(B35,Control_Library!$A$2:$E$11,5,FALSE),"")</x:f>
      </x:c>
      <x:c r="T35" s="9" t="n"/>
      <x:c r="U35" s="10" t="n"/>
      <x:c r="V35" s="9" t="n"/>
      <x:c r="W35" s="9" t="n"/>
    </x:row>
    <x:row r="36">
      <x:c r="A36" s="8">
        <x:f>IF(B36="","","R-"&amp;TEXT(ROW()-1,"000"))</x:f>
      </x:c>
      <x:c r="B36" s="9" t="n"/>
      <x:c r="C36" s="9" t="n"/>
      <x:c r="D36" s="9" t="n"/>
      <x:c r="E36" s="9" t="n"/>
      <x:c r="F36" s="9" t="n"/>
      <x:c r="G36" s="9" t="n"/>
      <x:c r="H36" s="9" t="n"/>
      <x:c r="I36" s="8">
        <x:f>IF(OR(G36="",H36=""),"",G36*H36)</x:f>
      </x:c>
      <x:c r="J36" s="8">
        <x:f>IF(I36="","",IF(I36&gt;=15,"High",IF(I36&gt;=8,"Medium","Low")))</x:f>
      </x:c>
      <x:c r="K36" s="9" t="n"/>
      <x:c r="L36" s="8">
        <x:f>IF(OR(G36="",K36=""),"",MAX(1,G36-ROUND(K36/2,0)))</x:f>
      </x:c>
      <x:c r="M36" s="8">
        <x:f>IF(OR(H36="",K36=""),"",MAX(1,H36-ROUND(K36/3,0)))</x:f>
      </x:c>
      <x:c r="N36" s="8">
        <x:f>IF(OR(L36="",M36=""),"",L36*M36)</x:f>
      </x:c>
      <x:c r="O36" s="8">
        <x:f>IF(N36="","",IF(N36&gt;=15,"High",IF(N36&gt;=8,"Medium","Low")))</x:f>
      </x:c>
      <x:c r="P36" s="8">
        <x:f>IFERROR(VLOOKUP(B36,Control_Library!$A$2:$E$11,2,FALSE),"")</x:f>
      </x:c>
      <x:c r="Q36" s="8">
        <x:f>IFERROR(VLOOKUP(B36,Control_Library!$A$2:$E$11,3,FALSE),"")</x:f>
      </x:c>
      <x:c r="R36" s="8">
        <x:f>IFERROR(VLOOKUP(B36,Control_Library!$A$2:$E$11,4,FALSE),"")</x:f>
      </x:c>
      <x:c r="S36" s="8">
        <x:f>IFERROR(VLOOKUP(B36,Control_Library!$A$2:$E$11,5,FALSE),"")</x:f>
      </x:c>
      <x:c r="T36" s="9" t="n"/>
      <x:c r="U36" s="10" t="n"/>
      <x:c r="V36" s="9" t="n"/>
      <x:c r="W36" s="9" t="n"/>
    </x:row>
    <x:row r="37">
      <x:c r="A37" s="8">
        <x:f>IF(B37="","","R-"&amp;TEXT(ROW()-1,"000"))</x:f>
      </x:c>
      <x:c r="B37" s="9" t="n"/>
      <x:c r="C37" s="9" t="n"/>
      <x:c r="D37" s="9" t="n"/>
      <x:c r="E37" s="9" t="n"/>
      <x:c r="F37" s="9" t="n"/>
      <x:c r="G37" s="9" t="n"/>
      <x:c r="H37" s="9" t="n"/>
      <x:c r="I37" s="8">
        <x:f>IF(OR(G37="",H37=""),"",G37*H37)</x:f>
      </x:c>
      <x:c r="J37" s="8">
        <x:f>IF(I37="","",IF(I37&gt;=15,"High",IF(I37&gt;=8,"Medium","Low")))</x:f>
      </x:c>
      <x:c r="K37" s="9" t="n"/>
      <x:c r="L37" s="8">
        <x:f>IF(OR(G37="",K37=""),"",MAX(1,G37-ROUND(K37/2,0)))</x:f>
      </x:c>
      <x:c r="M37" s="8">
        <x:f>IF(OR(H37="",K37=""),"",MAX(1,H37-ROUND(K37/3,0)))</x:f>
      </x:c>
      <x:c r="N37" s="8">
        <x:f>IF(OR(L37="",M37=""),"",L37*M37)</x:f>
      </x:c>
      <x:c r="O37" s="8">
        <x:f>IF(N37="","",IF(N37&gt;=15,"High",IF(N37&gt;=8,"Medium","Low")))</x:f>
      </x:c>
      <x:c r="P37" s="8">
        <x:f>IFERROR(VLOOKUP(B37,Control_Library!$A$2:$E$11,2,FALSE),"")</x:f>
      </x:c>
      <x:c r="Q37" s="8">
        <x:f>IFERROR(VLOOKUP(B37,Control_Library!$A$2:$E$11,3,FALSE),"")</x:f>
      </x:c>
      <x:c r="R37" s="8">
        <x:f>IFERROR(VLOOKUP(B37,Control_Library!$A$2:$E$11,4,FALSE),"")</x:f>
      </x:c>
      <x:c r="S37" s="8">
        <x:f>IFERROR(VLOOKUP(B37,Control_Library!$A$2:$E$11,5,FALSE),"")</x:f>
      </x:c>
      <x:c r="T37" s="9" t="n"/>
      <x:c r="U37" s="10" t="n"/>
      <x:c r="V37" s="9" t="n"/>
      <x:c r="W37" s="9" t="n"/>
    </x:row>
    <x:row r="38">
      <x:c r="A38" s="8">
        <x:f>IF(B38="","","R-"&amp;TEXT(ROW()-1,"000"))</x:f>
      </x:c>
      <x:c r="B38" s="9" t="n"/>
      <x:c r="C38" s="9" t="n"/>
      <x:c r="D38" s="9" t="n"/>
      <x:c r="E38" s="9" t="n"/>
      <x:c r="F38" s="9" t="n"/>
      <x:c r="G38" s="9" t="n"/>
      <x:c r="H38" s="9" t="n"/>
      <x:c r="I38" s="8">
        <x:f>IF(OR(G38="",H38=""),"",G38*H38)</x:f>
      </x:c>
      <x:c r="J38" s="8">
        <x:f>IF(I38="","",IF(I38&gt;=15,"High",IF(I38&gt;=8,"Medium","Low")))</x:f>
      </x:c>
      <x:c r="K38" s="9" t="n"/>
      <x:c r="L38" s="8">
        <x:f>IF(OR(G38="",K38=""),"",MAX(1,G38-ROUND(K38/2,0)))</x:f>
      </x:c>
      <x:c r="M38" s="8">
        <x:f>IF(OR(H38="",K38=""),"",MAX(1,H38-ROUND(K38/3,0)))</x:f>
      </x:c>
      <x:c r="N38" s="8">
        <x:f>IF(OR(L38="",M38=""),"",L38*M38)</x:f>
      </x:c>
      <x:c r="O38" s="8">
        <x:f>IF(N38="","",IF(N38&gt;=15,"High",IF(N38&gt;=8,"Medium","Low")))</x:f>
      </x:c>
      <x:c r="P38" s="8">
        <x:f>IFERROR(VLOOKUP(B38,Control_Library!$A$2:$E$11,2,FALSE),"")</x:f>
      </x:c>
      <x:c r="Q38" s="8">
        <x:f>IFERROR(VLOOKUP(B38,Control_Library!$A$2:$E$11,3,FALSE),"")</x:f>
      </x:c>
      <x:c r="R38" s="8">
        <x:f>IFERROR(VLOOKUP(B38,Control_Library!$A$2:$E$11,4,FALSE),"")</x:f>
      </x:c>
      <x:c r="S38" s="8">
        <x:f>IFERROR(VLOOKUP(B38,Control_Library!$A$2:$E$11,5,FALSE),"")</x:f>
      </x:c>
      <x:c r="T38" s="9" t="n"/>
      <x:c r="U38" s="10" t="n"/>
      <x:c r="V38" s="9" t="n"/>
      <x:c r="W38" s="9" t="n"/>
    </x:row>
    <x:row r="39">
      <x:c r="A39" s="8">
        <x:f>IF(B39="","","R-"&amp;TEXT(ROW()-1,"000"))</x:f>
      </x:c>
      <x:c r="B39" s="9" t="n"/>
      <x:c r="C39" s="9" t="n"/>
      <x:c r="D39" s="9" t="n"/>
      <x:c r="E39" s="9" t="n"/>
      <x:c r="F39" s="9" t="n"/>
      <x:c r="G39" s="9" t="n"/>
      <x:c r="H39" s="9" t="n"/>
      <x:c r="I39" s="8">
        <x:f>IF(OR(G39="",H39=""),"",G39*H39)</x:f>
      </x:c>
      <x:c r="J39" s="8">
        <x:f>IF(I39="","",IF(I39&gt;=15,"High",IF(I39&gt;=8,"Medium","Low")))</x:f>
      </x:c>
      <x:c r="K39" s="9" t="n"/>
      <x:c r="L39" s="8">
        <x:f>IF(OR(G39="",K39=""),"",MAX(1,G39-ROUND(K39/2,0)))</x:f>
      </x:c>
      <x:c r="M39" s="8">
        <x:f>IF(OR(H39="",K39=""),"",MAX(1,H39-ROUND(K39/3,0)))</x:f>
      </x:c>
      <x:c r="N39" s="8">
        <x:f>IF(OR(L39="",M39=""),"",L39*M39)</x:f>
      </x:c>
      <x:c r="O39" s="8">
        <x:f>IF(N39="","",IF(N39&gt;=15,"High",IF(N39&gt;=8,"Medium","Low")))</x:f>
      </x:c>
      <x:c r="P39" s="8">
        <x:f>IFERROR(VLOOKUP(B39,Control_Library!$A$2:$E$11,2,FALSE),"")</x:f>
      </x:c>
      <x:c r="Q39" s="8">
        <x:f>IFERROR(VLOOKUP(B39,Control_Library!$A$2:$E$11,3,FALSE),"")</x:f>
      </x:c>
      <x:c r="R39" s="8">
        <x:f>IFERROR(VLOOKUP(B39,Control_Library!$A$2:$E$11,4,FALSE),"")</x:f>
      </x:c>
      <x:c r="S39" s="8">
        <x:f>IFERROR(VLOOKUP(B39,Control_Library!$A$2:$E$11,5,FALSE),"")</x:f>
      </x:c>
      <x:c r="T39" s="9" t="n"/>
      <x:c r="U39" s="10" t="n"/>
      <x:c r="V39" s="9" t="n"/>
      <x:c r="W39" s="9" t="n"/>
    </x:row>
    <x:row r="40">
      <x:c r="A40" s="8">
        <x:f>IF(B40="","","R-"&amp;TEXT(ROW()-1,"000"))</x:f>
      </x:c>
      <x:c r="B40" s="9" t="n"/>
      <x:c r="C40" s="9" t="n"/>
      <x:c r="D40" s="9" t="n"/>
      <x:c r="E40" s="9" t="n"/>
      <x:c r="F40" s="9" t="n"/>
      <x:c r="G40" s="9" t="n"/>
      <x:c r="H40" s="9" t="n"/>
      <x:c r="I40" s="8">
        <x:f>IF(OR(G40="",H40=""),"",G40*H40)</x:f>
      </x:c>
      <x:c r="J40" s="8">
        <x:f>IF(I40="","",IF(I40&gt;=15,"High",IF(I40&gt;=8,"Medium","Low")))</x:f>
      </x:c>
      <x:c r="K40" s="9" t="n"/>
      <x:c r="L40" s="8">
        <x:f>IF(OR(G40="",K40=""),"",MAX(1,G40-ROUND(K40/2,0)))</x:f>
      </x:c>
      <x:c r="M40" s="8">
        <x:f>IF(OR(H40="",K40=""),"",MAX(1,H40-ROUND(K40/3,0)))</x:f>
      </x:c>
      <x:c r="N40" s="8">
        <x:f>IF(OR(L40="",M40=""),"",L40*M40)</x:f>
      </x:c>
      <x:c r="O40" s="8">
        <x:f>IF(N40="","",IF(N40&gt;=15,"High",IF(N40&gt;=8,"Medium","Low")))</x:f>
      </x:c>
      <x:c r="P40" s="8">
        <x:f>IFERROR(VLOOKUP(B40,Control_Library!$A$2:$E$11,2,FALSE),"")</x:f>
      </x:c>
      <x:c r="Q40" s="8">
        <x:f>IFERROR(VLOOKUP(B40,Control_Library!$A$2:$E$11,3,FALSE),"")</x:f>
      </x:c>
      <x:c r="R40" s="8">
        <x:f>IFERROR(VLOOKUP(B40,Control_Library!$A$2:$E$11,4,FALSE),"")</x:f>
      </x:c>
      <x:c r="S40" s="8">
        <x:f>IFERROR(VLOOKUP(B40,Control_Library!$A$2:$E$11,5,FALSE),"")</x:f>
      </x:c>
      <x:c r="T40" s="9" t="n"/>
      <x:c r="U40" s="10" t="n"/>
      <x:c r="V40" s="9" t="n"/>
      <x:c r="W40" s="9" t="n"/>
    </x:row>
    <x:row r="41">
      <x:c r="A41" s="8">
        <x:f>IF(B41="","","R-"&amp;TEXT(ROW()-1,"000"))</x:f>
      </x:c>
      <x:c r="B41" s="9" t="n"/>
      <x:c r="C41" s="9" t="n"/>
      <x:c r="D41" s="9" t="n"/>
      <x:c r="E41" s="9" t="n"/>
      <x:c r="F41" s="9" t="n"/>
      <x:c r="G41" s="9" t="n"/>
      <x:c r="H41" s="9" t="n"/>
      <x:c r="I41" s="8">
        <x:f>IF(OR(G41="",H41=""),"",G41*H41)</x:f>
      </x:c>
      <x:c r="J41" s="8">
        <x:f>IF(I41="","",IF(I41&gt;=15,"High",IF(I41&gt;=8,"Medium","Low")))</x:f>
      </x:c>
      <x:c r="K41" s="9" t="n"/>
      <x:c r="L41" s="8">
        <x:f>IF(OR(G41="",K41=""),"",MAX(1,G41-ROUND(K41/2,0)))</x:f>
      </x:c>
      <x:c r="M41" s="8">
        <x:f>IF(OR(H41="",K41=""),"",MAX(1,H41-ROUND(K41/3,0)))</x:f>
      </x:c>
      <x:c r="N41" s="8">
        <x:f>IF(OR(L41="",M41=""),"",L41*M41)</x:f>
      </x:c>
      <x:c r="O41" s="8">
        <x:f>IF(N41="","",IF(N41&gt;=15,"High",IF(N41&gt;=8,"Medium","Low")))</x:f>
      </x:c>
      <x:c r="P41" s="8">
        <x:f>IFERROR(VLOOKUP(B41,Control_Library!$A$2:$E$11,2,FALSE),"")</x:f>
      </x:c>
      <x:c r="Q41" s="8">
        <x:f>IFERROR(VLOOKUP(B41,Control_Library!$A$2:$E$11,3,FALSE),"")</x:f>
      </x:c>
      <x:c r="R41" s="8">
        <x:f>IFERROR(VLOOKUP(B41,Control_Library!$A$2:$E$11,4,FALSE),"")</x:f>
      </x:c>
      <x:c r="S41" s="8">
        <x:f>IFERROR(VLOOKUP(B41,Control_Library!$A$2:$E$11,5,FALSE),"")</x:f>
      </x:c>
      <x:c r="T41" s="9" t="n"/>
      <x:c r="U41" s="10" t="n"/>
      <x:c r="V41" s="9" t="n"/>
      <x:c r="W41" s="9" t="n"/>
    </x:row>
    <x:row r="42">
      <x:c r="A42" s="8">
        <x:f>IF(B42="","","R-"&amp;TEXT(ROW()-1,"000"))</x:f>
      </x:c>
      <x:c r="B42" s="9" t="n"/>
      <x:c r="C42" s="9" t="n"/>
      <x:c r="D42" s="9" t="n"/>
      <x:c r="E42" s="9" t="n"/>
      <x:c r="F42" s="9" t="n"/>
      <x:c r="G42" s="9" t="n"/>
      <x:c r="H42" s="9" t="n"/>
      <x:c r="I42" s="8">
        <x:f>IF(OR(G42="",H42=""),"",G42*H42)</x:f>
      </x:c>
      <x:c r="J42" s="8">
        <x:f>IF(I42="","",IF(I42&gt;=15,"High",IF(I42&gt;=8,"Medium","Low")))</x:f>
      </x:c>
      <x:c r="K42" s="9" t="n"/>
      <x:c r="L42" s="8">
        <x:f>IF(OR(G42="",K42=""),"",MAX(1,G42-ROUND(K42/2,0)))</x:f>
      </x:c>
      <x:c r="M42" s="8">
        <x:f>IF(OR(H42="",K42=""),"",MAX(1,H42-ROUND(K42/3,0)))</x:f>
      </x:c>
      <x:c r="N42" s="8">
        <x:f>IF(OR(L42="",M42=""),"",L42*M42)</x:f>
      </x:c>
      <x:c r="O42" s="8">
        <x:f>IF(N42="","",IF(N42&gt;=15,"High",IF(N42&gt;=8,"Medium","Low")))</x:f>
      </x:c>
      <x:c r="P42" s="8">
        <x:f>IFERROR(VLOOKUP(B42,Control_Library!$A$2:$E$11,2,FALSE),"")</x:f>
      </x:c>
      <x:c r="Q42" s="8">
        <x:f>IFERROR(VLOOKUP(B42,Control_Library!$A$2:$E$11,3,FALSE),"")</x:f>
      </x:c>
      <x:c r="R42" s="8">
        <x:f>IFERROR(VLOOKUP(B42,Control_Library!$A$2:$E$11,4,FALSE),"")</x:f>
      </x:c>
      <x:c r="S42" s="8">
        <x:f>IFERROR(VLOOKUP(B42,Control_Library!$A$2:$E$11,5,FALSE),"")</x:f>
      </x:c>
      <x:c r="T42" s="9" t="n"/>
      <x:c r="U42" s="10" t="n"/>
      <x:c r="V42" s="9" t="n"/>
      <x:c r="W42" s="9" t="n"/>
    </x:row>
    <x:row r="43">
      <x:c r="A43" s="8">
        <x:f>IF(B43="","","R-"&amp;TEXT(ROW()-1,"000"))</x:f>
      </x:c>
      <x:c r="B43" s="9" t="n"/>
      <x:c r="C43" s="9" t="n"/>
      <x:c r="D43" s="9" t="n"/>
      <x:c r="E43" s="9" t="n"/>
      <x:c r="F43" s="9" t="n"/>
      <x:c r="G43" s="9" t="n"/>
      <x:c r="H43" s="9" t="n"/>
      <x:c r="I43" s="8">
        <x:f>IF(OR(G43="",H43=""),"",G43*H43)</x:f>
      </x:c>
      <x:c r="J43" s="8">
        <x:f>IF(I43="","",IF(I43&gt;=15,"High",IF(I43&gt;=8,"Medium","Low")))</x:f>
      </x:c>
      <x:c r="K43" s="9" t="n"/>
      <x:c r="L43" s="8">
        <x:f>IF(OR(G43="",K43=""),"",MAX(1,G43-ROUND(K43/2,0)))</x:f>
      </x:c>
      <x:c r="M43" s="8">
        <x:f>IF(OR(H43="",K43=""),"",MAX(1,H43-ROUND(K43/3,0)))</x:f>
      </x:c>
      <x:c r="N43" s="8">
        <x:f>IF(OR(L43="",M43=""),"",L43*M43)</x:f>
      </x:c>
      <x:c r="O43" s="8">
        <x:f>IF(N43="","",IF(N43&gt;=15,"High",IF(N43&gt;=8,"Medium","Low")))</x:f>
      </x:c>
      <x:c r="P43" s="8">
        <x:f>IFERROR(VLOOKUP(B43,Control_Library!$A$2:$E$11,2,FALSE),"")</x:f>
      </x:c>
      <x:c r="Q43" s="8">
        <x:f>IFERROR(VLOOKUP(B43,Control_Library!$A$2:$E$11,3,FALSE),"")</x:f>
      </x:c>
      <x:c r="R43" s="8">
        <x:f>IFERROR(VLOOKUP(B43,Control_Library!$A$2:$E$11,4,FALSE),"")</x:f>
      </x:c>
      <x:c r="S43" s="8">
        <x:f>IFERROR(VLOOKUP(B43,Control_Library!$A$2:$E$11,5,FALSE),"")</x:f>
      </x:c>
      <x:c r="T43" s="9" t="n"/>
      <x:c r="U43" s="10" t="n"/>
      <x:c r="V43" s="9" t="n"/>
      <x:c r="W43" s="9" t="n"/>
    </x:row>
    <x:row r="44">
      <x:c r="A44" s="8">
        <x:f>IF(B44="","","R-"&amp;TEXT(ROW()-1,"000"))</x:f>
      </x:c>
      <x:c r="B44" s="9" t="n"/>
      <x:c r="C44" s="9" t="n"/>
      <x:c r="D44" s="9" t="n"/>
      <x:c r="E44" s="9" t="n"/>
      <x:c r="F44" s="9" t="n"/>
      <x:c r="G44" s="9" t="n"/>
      <x:c r="H44" s="9" t="n"/>
      <x:c r="I44" s="8">
        <x:f>IF(OR(G44="",H44=""),"",G44*H44)</x:f>
      </x:c>
      <x:c r="J44" s="8">
        <x:f>IF(I44="","",IF(I44&gt;=15,"High",IF(I44&gt;=8,"Medium","Low")))</x:f>
      </x:c>
      <x:c r="K44" s="9" t="n"/>
      <x:c r="L44" s="8">
        <x:f>IF(OR(G44="",K44=""),"",MAX(1,G44-ROUND(K44/2,0)))</x:f>
      </x:c>
      <x:c r="M44" s="8">
        <x:f>IF(OR(H44="",K44=""),"",MAX(1,H44-ROUND(K44/3,0)))</x:f>
      </x:c>
      <x:c r="N44" s="8">
        <x:f>IF(OR(L44="",M44=""),"",L44*M44)</x:f>
      </x:c>
      <x:c r="O44" s="8">
        <x:f>IF(N44="","",IF(N44&gt;=15,"High",IF(N44&gt;=8,"Medium","Low")))</x:f>
      </x:c>
      <x:c r="P44" s="8">
        <x:f>IFERROR(VLOOKUP(B44,Control_Library!$A$2:$E$11,2,FALSE),"")</x:f>
      </x:c>
      <x:c r="Q44" s="8">
        <x:f>IFERROR(VLOOKUP(B44,Control_Library!$A$2:$E$11,3,FALSE),"")</x:f>
      </x:c>
      <x:c r="R44" s="8">
        <x:f>IFERROR(VLOOKUP(B44,Control_Library!$A$2:$E$11,4,FALSE),"")</x:f>
      </x:c>
      <x:c r="S44" s="8">
        <x:f>IFERROR(VLOOKUP(B44,Control_Library!$A$2:$E$11,5,FALSE),"")</x:f>
      </x:c>
      <x:c r="T44" s="9" t="n"/>
      <x:c r="U44" s="10" t="n"/>
      <x:c r="V44" s="9" t="n"/>
      <x:c r="W44" s="9" t="n"/>
    </x:row>
    <x:row r="45">
      <x:c r="A45" s="8">
        <x:f>IF(B45="","","R-"&amp;TEXT(ROW()-1,"000"))</x:f>
      </x:c>
      <x:c r="B45" s="9" t="n"/>
      <x:c r="C45" s="9" t="n"/>
      <x:c r="D45" s="9" t="n"/>
      <x:c r="E45" s="9" t="n"/>
      <x:c r="F45" s="9" t="n"/>
      <x:c r="G45" s="9" t="n"/>
      <x:c r="H45" s="9" t="n"/>
      <x:c r="I45" s="8">
        <x:f>IF(OR(G45="",H45=""),"",G45*H45)</x:f>
      </x:c>
      <x:c r="J45" s="8">
        <x:f>IF(I45="","",IF(I45&gt;=15,"High",IF(I45&gt;=8,"Medium","Low")))</x:f>
      </x:c>
      <x:c r="K45" s="9" t="n"/>
      <x:c r="L45" s="8">
        <x:f>IF(OR(G45="",K45=""),"",MAX(1,G45-ROUND(K45/2,0)))</x:f>
      </x:c>
      <x:c r="M45" s="8">
        <x:f>IF(OR(H45="",K45=""),"",MAX(1,H45-ROUND(K45/3,0)))</x:f>
      </x:c>
      <x:c r="N45" s="8">
        <x:f>IF(OR(L45="",M45=""),"",L45*M45)</x:f>
      </x:c>
      <x:c r="O45" s="8">
        <x:f>IF(N45="","",IF(N45&gt;=15,"High",IF(N45&gt;=8,"Medium","Low")))</x:f>
      </x:c>
      <x:c r="P45" s="8">
        <x:f>IFERROR(VLOOKUP(B45,Control_Library!$A$2:$E$11,2,FALSE),"")</x:f>
      </x:c>
      <x:c r="Q45" s="8">
        <x:f>IFERROR(VLOOKUP(B45,Control_Library!$A$2:$E$11,3,FALSE),"")</x:f>
      </x:c>
      <x:c r="R45" s="8">
        <x:f>IFERROR(VLOOKUP(B45,Control_Library!$A$2:$E$11,4,FALSE),"")</x:f>
      </x:c>
      <x:c r="S45" s="8">
        <x:f>IFERROR(VLOOKUP(B45,Control_Library!$A$2:$E$11,5,FALSE),"")</x:f>
      </x:c>
      <x:c r="T45" s="9" t="n"/>
      <x:c r="U45" s="10" t="n"/>
      <x:c r="V45" s="9" t="n"/>
      <x:c r="W45" s="9" t="n"/>
    </x:row>
    <x:row r="46">
      <x:c r="A46" s="8">
        <x:f>IF(B46="","","R-"&amp;TEXT(ROW()-1,"000"))</x:f>
      </x:c>
      <x:c r="B46" s="9" t="n"/>
      <x:c r="C46" s="9" t="n"/>
      <x:c r="D46" s="9" t="n"/>
      <x:c r="E46" s="9" t="n"/>
      <x:c r="F46" s="9" t="n"/>
      <x:c r="G46" s="9" t="n"/>
      <x:c r="H46" s="9" t="n"/>
      <x:c r="I46" s="8">
        <x:f>IF(OR(G46="",H46=""),"",G46*H46)</x:f>
      </x:c>
      <x:c r="J46" s="8">
        <x:f>IF(I46="","",IF(I46&gt;=15,"High",IF(I46&gt;=8,"Medium","Low")))</x:f>
      </x:c>
      <x:c r="K46" s="9" t="n"/>
      <x:c r="L46" s="8">
        <x:f>IF(OR(G46="",K46=""),"",MAX(1,G46-ROUND(K46/2,0)))</x:f>
      </x:c>
      <x:c r="M46" s="8">
        <x:f>IF(OR(H46="",K46=""),"",MAX(1,H46-ROUND(K46/3,0)))</x:f>
      </x:c>
      <x:c r="N46" s="8">
        <x:f>IF(OR(L46="",M46=""),"",L46*M46)</x:f>
      </x:c>
      <x:c r="O46" s="8">
        <x:f>IF(N46="","",IF(N46&gt;=15,"High",IF(N46&gt;=8,"Medium","Low")))</x:f>
      </x:c>
      <x:c r="P46" s="8">
        <x:f>IFERROR(VLOOKUP(B46,Control_Library!$A$2:$E$11,2,FALSE),"")</x:f>
      </x:c>
      <x:c r="Q46" s="8">
        <x:f>IFERROR(VLOOKUP(B46,Control_Library!$A$2:$E$11,3,FALSE),"")</x:f>
      </x:c>
      <x:c r="R46" s="8">
        <x:f>IFERROR(VLOOKUP(B46,Control_Library!$A$2:$E$11,4,FALSE),"")</x:f>
      </x:c>
      <x:c r="S46" s="8">
        <x:f>IFERROR(VLOOKUP(B46,Control_Library!$A$2:$E$11,5,FALSE),"")</x:f>
      </x:c>
      <x:c r="T46" s="9" t="n"/>
      <x:c r="U46" s="10" t="n"/>
      <x:c r="V46" s="9" t="n"/>
      <x:c r="W46" s="9" t="n"/>
    </x:row>
    <x:row r="47">
      <x:c r="A47" s="8">
        <x:f>IF(B47="","","R-"&amp;TEXT(ROW()-1,"000"))</x:f>
      </x:c>
      <x:c r="B47" s="9" t="n"/>
      <x:c r="C47" s="9" t="n"/>
      <x:c r="D47" s="9" t="n"/>
      <x:c r="E47" s="9" t="n"/>
      <x:c r="F47" s="9" t="n"/>
      <x:c r="G47" s="9" t="n"/>
      <x:c r="H47" s="9" t="n"/>
      <x:c r="I47" s="8">
        <x:f>IF(OR(G47="",H47=""),"",G47*H47)</x:f>
      </x:c>
      <x:c r="J47" s="8">
        <x:f>IF(I47="","",IF(I47&gt;=15,"High",IF(I47&gt;=8,"Medium","Low")))</x:f>
      </x:c>
      <x:c r="K47" s="9" t="n"/>
      <x:c r="L47" s="8">
        <x:f>IF(OR(G47="",K47=""),"",MAX(1,G47-ROUND(K47/2,0)))</x:f>
      </x:c>
      <x:c r="M47" s="8">
        <x:f>IF(OR(H47="",K47=""),"",MAX(1,H47-ROUND(K47/3,0)))</x:f>
      </x:c>
      <x:c r="N47" s="8">
        <x:f>IF(OR(L47="",M47=""),"",L47*M47)</x:f>
      </x:c>
      <x:c r="O47" s="8">
        <x:f>IF(N47="","",IF(N47&gt;=15,"High",IF(N47&gt;=8,"Medium","Low")))</x:f>
      </x:c>
      <x:c r="P47" s="8">
        <x:f>IFERROR(VLOOKUP(B47,Control_Library!$A$2:$E$11,2,FALSE),"")</x:f>
      </x:c>
      <x:c r="Q47" s="8">
        <x:f>IFERROR(VLOOKUP(B47,Control_Library!$A$2:$E$11,3,FALSE),"")</x:f>
      </x:c>
      <x:c r="R47" s="8">
        <x:f>IFERROR(VLOOKUP(B47,Control_Library!$A$2:$E$11,4,FALSE),"")</x:f>
      </x:c>
      <x:c r="S47" s="8">
        <x:f>IFERROR(VLOOKUP(B47,Control_Library!$A$2:$E$11,5,FALSE),"")</x:f>
      </x:c>
      <x:c r="T47" s="9" t="n"/>
      <x:c r="U47" s="10" t="n"/>
      <x:c r="V47" s="9" t="n"/>
      <x:c r="W47" s="9" t="n"/>
    </x:row>
    <x:row r="48">
      <x:c r="A48" s="8">
        <x:f>IF(B48="","","R-"&amp;TEXT(ROW()-1,"000"))</x:f>
      </x:c>
      <x:c r="B48" s="9" t="n"/>
      <x:c r="C48" s="9" t="n"/>
      <x:c r="D48" s="9" t="n"/>
      <x:c r="E48" s="9" t="n"/>
      <x:c r="F48" s="9" t="n"/>
      <x:c r="G48" s="9" t="n"/>
      <x:c r="H48" s="9" t="n"/>
      <x:c r="I48" s="8">
        <x:f>IF(OR(G48="",H48=""),"",G48*H48)</x:f>
      </x:c>
      <x:c r="J48" s="8">
        <x:f>IF(I48="","",IF(I48&gt;=15,"High",IF(I48&gt;=8,"Medium","Low")))</x:f>
      </x:c>
      <x:c r="K48" s="9" t="n"/>
      <x:c r="L48" s="8">
        <x:f>IF(OR(G48="",K48=""),"",MAX(1,G48-ROUND(K48/2,0)))</x:f>
      </x:c>
      <x:c r="M48" s="8">
        <x:f>IF(OR(H48="",K48=""),"",MAX(1,H48-ROUND(K48/3,0)))</x:f>
      </x:c>
      <x:c r="N48" s="8">
        <x:f>IF(OR(L48="",M48=""),"",L48*M48)</x:f>
      </x:c>
      <x:c r="O48" s="8">
        <x:f>IF(N48="","",IF(N48&gt;=15,"High",IF(N48&gt;=8,"Medium","Low")))</x:f>
      </x:c>
      <x:c r="P48" s="8">
        <x:f>IFERROR(VLOOKUP(B48,Control_Library!$A$2:$E$11,2,FALSE),"")</x:f>
      </x:c>
      <x:c r="Q48" s="8">
        <x:f>IFERROR(VLOOKUP(B48,Control_Library!$A$2:$E$11,3,FALSE),"")</x:f>
      </x:c>
      <x:c r="R48" s="8">
        <x:f>IFERROR(VLOOKUP(B48,Control_Library!$A$2:$E$11,4,FALSE),"")</x:f>
      </x:c>
      <x:c r="S48" s="8">
        <x:f>IFERROR(VLOOKUP(B48,Control_Library!$A$2:$E$11,5,FALSE),"")</x:f>
      </x:c>
      <x:c r="T48" s="9" t="n"/>
      <x:c r="U48" s="10" t="n"/>
      <x:c r="V48" s="9" t="n"/>
      <x:c r="W48" s="9" t="n"/>
    </x:row>
    <x:row r="49">
      <x:c r="A49" s="8">
        <x:f>IF(B49="","","R-"&amp;TEXT(ROW()-1,"000"))</x:f>
      </x:c>
      <x:c r="B49" s="9" t="n"/>
      <x:c r="C49" s="9" t="n"/>
      <x:c r="D49" s="9" t="n"/>
      <x:c r="E49" s="9" t="n"/>
      <x:c r="F49" s="9" t="n"/>
      <x:c r="G49" s="9" t="n"/>
      <x:c r="H49" s="9" t="n"/>
      <x:c r="I49" s="8">
        <x:f>IF(OR(G49="",H49=""),"",G49*H49)</x:f>
      </x:c>
      <x:c r="J49" s="8">
        <x:f>IF(I49="","",IF(I49&gt;=15,"High",IF(I49&gt;=8,"Medium","Low")))</x:f>
      </x:c>
      <x:c r="K49" s="9" t="n"/>
      <x:c r="L49" s="8">
        <x:f>IF(OR(G49="",K49=""),"",MAX(1,G49-ROUND(K49/2,0)))</x:f>
      </x:c>
      <x:c r="M49" s="8">
        <x:f>IF(OR(H49="",K49=""),"",MAX(1,H49-ROUND(K49/3,0)))</x:f>
      </x:c>
      <x:c r="N49" s="8">
        <x:f>IF(OR(L49="",M49=""),"",L49*M49)</x:f>
      </x:c>
      <x:c r="O49" s="8">
        <x:f>IF(N49="","",IF(N49&gt;=15,"High",IF(N49&gt;=8,"Medium","Low")))</x:f>
      </x:c>
      <x:c r="P49" s="8">
        <x:f>IFERROR(VLOOKUP(B49,Control_Library!$A$2:$E$11,2,FALSE),"")</x:f>
      </x:c>
      <x:c r="Q49" s="8">
        <x:f>IFERROR(VLOOKUP(B49,Control_Library!$A$2:$E$11,3,FALSE),"")</x:f>
      </x:c>
      <x:c r="R49" s="8">
        <x:f>IFERROR(VLOOKUP(B49,Control_Library!$A$2:$E$11,4,FALSE),"")</x:f>
      </x:c>
      <x:c r="S49" s="8">
        <x:f>IFERROR(VLOOKUP(B49,Control_Library!$A$2:$E$11,5,FALSE),"")</x:f>
      </x:c>
      <x:c r="T49" s="9" t="n"/>
      <x:c r="U49" s="10" t="n"/>
      <x:c r="V49" s="9" t="n"/>
      <x:c r="W49" s="9" t="n"/>
    </x:row>
    <x:row r="50">
      <x:c r="A50" s="8">
        <x:f>IF(B50="","","R-"&amp;TEXT(ROW()-1,"000"))</x:f>
      </x:c>
      <x:c r="B50" s="9" t="n"/>
      <x:c r="C50" s="9" t="n"/>
      <x:c r="D50" s="9" t="n"/>
      <x:c r="E50" s="9" t="n"/>
      <x:c r="F50" s="9" t="n"/>
      <x:c r="G50" s="9" t="n"/>
      <x:c r="H50" s="9" t="n"/>
      <x:c r="I50" s="8">
        <x:f>IF(OR(G50="",H50=""),"",G50*H50)</x:f>
      </x:c>
      <x:c r="J50" s="8">
        <x:f>IF(I50="","",IF(I50&gt;=15,"High",IF(I50&gt;=8,"Medium","Low")))</x:f>
      </x:c>
      <x:c r="K50" s="9" t="n"/>
      <x:c r="L50" s="8">
        <x:f>IF(OR(G50="",K50=""),"",MAX(1,G50-ROUND(K50/2,0)))</x:f>
      </x:c>
      <x:c r="M50" s="8">
        <x:f>IF(OR(H50="",K50=""),"",MAX(1,H50-ROUND(K50/3,0)))</x:f>
      </x:c>
      <x:c r="N50" s="8">
        <x:f>IF(OR(L50="",M50=""),"",L50*M50)</x:f>
      </x:c>
      <x:c r="O50" s="8">
        <x:f>IF(N50="","",IF(N50&gt;=15,"High",IF(N50&gt;=8,"Medium","Low")))</x:f>
      </x:c>
      <x:c r="P50" s="8">
        <x:f>IFERROR(VLOOKUP(B50,Control_Library!$A$2:$E$11,2,FALSE),"")</x:f>
      </x:c>
      <x:c r="Q50" s="8">
        <x:f>IFERROR(VLOOKUP(B50,Control_Library!$A$2:$E$11,3,FALSE),"")</x:f>
      </x:c>
      <x:c r="R50" s="8">
        <x:f>IFERROR(VLOOKUP(B50,Control_Library!$A$2:$E$11,4,FALSE),"")</x:f>
      </x:c>
      <x:c r="S50" s="8">
        <x:f>IFERROR(VLOOKUP(B50,Control_Library!$A$2:$E$11,5,FALSE),"")</x:f>
      </x:c>
      <x:c r="T50" s="9" t="n"/>
      <x:c r="U50" s="10" t="n"/>
      <x:c r="V50" s="9" t="n"/>
      <x:c r="W50" s="9" t="n"/>
    </x:row>
    <x:row r="51">
      <x:c r="A51" s="8">
        <x:f>IF(B51="","","R-"&amp;TEXT(ROW()-1,"000"))</x:f>
      </x:c>
      <x:c r="B51" s="9" t="n"/>
      <x:c r="C51" s="9" t="n"/>
      <x:c r="D51" s="9" t="n"/>
      <x:c r="E51" s="9" t="n"/>
      <x:c r="F51" s="9" t="n"/>
      <x:c r="G51" s="9" t="n"/>
      <x:c r="H51" s="9" t="n"/>
      <x:c r="I51" s="8">
        <x:f>IF(OR(G51="",H51=""),"",G51*H51)</x:f>
      </x:c>
      <x:c r="J51" s="8">
        <x:f>IF(I51="","",IF(I51&gt;=15,"High",IF(I51&gt;=8,"Medium","Low")))</x:f>
      </x:c>
      <x:c r="K51" s="9" t="n"/>
      <x:c r="L51" s="8">
        <x:f>IF(OR(G51="",K51=""),"",MAX(1,G51-ROUND(K51/2,0)))</x:f>
      </x:c>
      <x:c r="M51" s="8">
        <x:f>IF(OR(H51="",K51=""),"",MAX(1,H51-ROUND(K51/3,0)))</x:f>
      </x:c>
      <x:c r="N51" s="8">
        <x:f>IF(OR(L51="",M51=""),"",L51*M51)</x:f>
      </x:c>
      <x:c r="O51" s="8">
        <x:f>IF(N51="","",IF(N51&gt;=15,"High",IF(N51&gt;=8,"Medium","Low")))</x:f>
      </x:c>
      <x:c r="P51" s="8">
        <x:f>IFERROR(VLOOKUP(B51,Control_Library!$A$2:$E$11,2,FALSE),"")</x:f>
      </x:c>
      <x:c r="Q51" s="8">
        <x:f>IFERROR(VLOOKUP(B51,Control_Library!$A$2:$E$11,3,FALSE),"")</x:f>
      </x:c>
      <x:c r="R51" s="8">
        <x:f>IFERROR(VLOOKUP(B51,Control_Library!$A$2:$E$11,4,FALSE),"")</x:f>
      </x:c>
      <x:c r="S51" s="8">
        <x:f>IFERROR(VLOOKUP(B51,Control_Library!$A$2:$E$11,5,FALSE),"")</x:f>
      </x:c>
      <x:c r="T51" s="9" t="n"/>
      <x:c r="U51" s="10" t="n"/>
      <x:c r="V51" s="9" t="n"/>
      <x:c r="W51" s="9" t="n"/>
    </x:row>
    <x:row r="52">
      <x:c r="A52" s="8">
        <x:f>IF(B52="","","R-"&amp;TEXT(ROW()-1,"000"))</x:f>
      </x:c>
      <x:c r="B52" s="9" t="n"/>
      <x:c r="C52" s="9" t="n"/>
      <x:c r="D52" s="9" t="n"/>
      <x:c r="E52" s="9" t="n"/>
      <x:c r="F52" s="9" t="n"/>
      <x:c r="G52" s="9" t="n"/>
      <x:c r="H52" s="9" t="n"/>
      <x:c r="I52" s="8">
        <x:f>IF(OR(G52="",H52=""),"",G52*H52)</x:f>
      </x:c>
      <x:c r="J52" s="8">
        <x:f>IF(I52="","",IF(I52&gt;=15,"High",IF(I52&gt;=8,"Medium","Low")))</x:f>
      </x:c>
      <x:c r="K52" s="9" t="n"/>
      <x:c r="L52" s="8">
        <x:f>IF(OR(G52="",K52=""),"",MAX(1,G52-ROUND(K52/2,0)))</x:f>
      </x:c>
      <x:c r="M52" s="8">
        <x:f>IF(OR(H52="",K52=""),"",MAX(1,H52-ROUND(K52/3,0)))</x:f>
      </x:c>
      <x:c r="N52" s="8">
        <x:f>IF(OR(L52="",M52=""),"",L52*M52)</x:f>
      </x:c>
      <x:c r="O52" s="8">
        <x:f>IF(N52="","",IF(N52&gt;=15,"High",IF(N52&gt;=8,"Medium","Low")))</x:f>
      </x:c>
      <x:c r="P52" s="8">
        <x:f>IFERROR(VLOOKUP(B52,Control_Library!$A$2:$E$11,2,FALSE),"")</x:f>
      </x:c>
      <x:c r="Q52" s="8">
        <x:f>IFERROR(VLOOKUP(B52,Control_Library!$A$2:$E$11,3,FALSE),"")</x:f>
      </x:c>
      <x:c r="R52" s="8">
        <x:f>IFERROR(VLOOKUP(B52,Control_Library!$A$2:$E$11,4,FALSE),"")</x:f>
      </x:c>
      <x:c r="S52" s="8">
        <x:f>IFERROR(VLOOKUP(B52,Control_Library!$A$2:$E$11,5,FALSE),"")</x:f>
      </x:c>
      <x:c r="T52" s="9" t="n"/>
      <x:c r="U52" s="10" t="n"/>
      <x:c r="V52" s="9" t="n"/>
      <x:c r="W52" s="9" t="n"/>
    </x:row>
    <x:row r="53">
      <x:c r="A53" s="8">
        <x:f>IF(B53="","","R-"&amp;TEXT(ROW()-1,"000"))</x:f>
      </x:c>
      <x:c r="B53" s="9" t="n"/>
      <x:c r="C53" s="9" t="n"/>
      <x:c r="D53" s="9" t="n"/>
      <x:c r="E53" s="9" t="n"/>
      <x:c r="F53" s="9" t="n"/>
      <x:c r="G53" s="9" t="n"/>
      <x:c r="H53" s="9" t="n"/>
      <x:c r="I53" s="8">
        <x:f>IF(OR(G53="",H53=""),"",G53*H53)</x:f>
      </x:c>
      <x:c r="J53" s="8">
        <x:f>IF(I53="","",IF(I53&gt;=15,"High",IF(I53&gt;=8,"Medium","Low")))</x:f>
      </x:c>
      <x:c r="K53" s="9" t="n"/>
      <x:c r="L53" s="8">
        <x:f>IF(OR(G53="",K53=""),"",MAX(1,G53-ROUND(K53/2,0)))</x:f>
      </x:c>
      <x:c r="M53" s="8">
        <x:f>IF(OR(H53="",K53=""),"",MAX(1,H53-ROUND(K53/3,0)))</x:f>
      </x:c>
      <x:c r="N53" s="8">
        <x:f>IF(OR(L53="",M53=""),"",L53*M53)</x:f>
      </x:c>
      <x:c r="O53" s="8">
        <x:f>IF(N53="","",IF(N53&gt;=15,"High",IF(N53&gt;=8,"Medium","Low")))</x:f>
      </x:c>
      <x:c r="P53" s="8">
        <x:f>IFERROR(VLOOKUP(B53,Control_Library!$A$2:$E$11,2,FALSE),"")</x:f>
      </x:c>
      <x:c r="Q53" s="8">
        <x:f>IFERROR(VLOOKUP(B53,Control_Library!$A$2:$E$11,3,FALSE),"")</x:f>
      </x:c>
      <x:c r="R53" s="8">
        <x:f>IFERROR(VLOOKUP(B53,Control_Library!$A$2:$E$11,4,FALSE),"")</x:f>
      </x:c>
      <x:c r="S53" s="8">
        <x:f>IFERROR(VLOOKUP(B53,Control_Library!$A$2:$E$11,5,FALSE),"")</x:f>
      </x:c>
      <x:c r="T53" s="9" t="n"/>
      <x:c r="U53" s="10" t="n"/>
      <x:c r="V53" s="9" t="n"/>
      <x:c r="W53" s="9" t="n"/>
    </x:row>
    <x:row r="54">
      <x:c r="A54" s="8">
        <x:f>IF(B54="","","R-"&amp;TEXT(ROW()-1,"000"))</x:f>
      </x:c>
      <x:c r="B54" s="9" t="n"/>
      <x:c r="C54" s="9" t="n"/>
      <x:c r="D54" s="9" t="n"/>
      <x:c r="E54" s="9" t="n"/>
      <x:c r="F54" s="9" t="n"/>
      <x:c r="G54" s="9" t="n"/>
      <x:c r="H54" s="9" t="n"/>
      <x:c r="I54" s="8">
        <x:f>IF(OR(G54="",H54=""),"",G54*H54)</x:f>
      </x:c>
      <x:c r="J54" s="8">
        <x:f>IF(I54="","",IF(I54&gt;=15,"High",IF(I54&gt;=8,"Medium","Low")))</x:f>
      </x:c>
      <x:c r="K54" s="9" t="n"/>
      <x:c r="L54" s="8">
        <x:f>IF(OR(G54="",K54=""),"",MAX(1,G54-ROUND(K54/2,0)))</x:f>
      </x:c>
      <x:c r="M54" s="8">
        <x:f>IF(OR(H54="",K54=""),"",MAX(1,H54-ROUND(K54/3,0)))</x:f>
      </x:c>
      <x:c r="N54" s="8">
        <x:f>IF(OR(L54="",M54=""),"",L54*M54)</x:f>
      </x:c>
      <x:c r="O54" s="8">
        <x:f>IF(N54="","",IF(N54&gt;=15,"High",IF(N54&gt;=8,"Medium","Low")))</x:f>
      </x:c>
      <x:c r="P54" s="8">
        <x:f>IFERROR(VLOOKUP(B54,Control_Library!$A$2:$E$11,2,FALSE),"")</x:f>
      </x:c>
      <x:c r="Q54" s="8">
        <x:f>IFERROR(VLOOKUP(B54,Control_Library!$A$2:$E$11,3,FALSE),"")</x:f>
      </x:c>
      <x:c r="R54" s="8">
        <x:f>IFERROR(VLOOKUP(B54,Control_Library!$A$2:$E$11,4,FALSE),"")</x:f>
      </x:c>
      <x:c r="S54" s="8">
        <x:f>IFERROR(VLOOKUP(B54,Control_Library!$A$2:$E$11,5,FALSE),"")</x:f>
      </x:c>
      <x:c r="T54" s="9" t="n"/>
      <x:c r="U54" s="10" t="n"/>
      <x:c r="V54" s="9" t="n"/>
      <x:c r="W54" s="9" t="n"/>
    </x:row>
    <x:row r="55">
      <x:c r="A55" s="8">
        <x:f>IF(B55="","","R-"&amp;TEXT(ROW()-1,"000"))</x:f>
      </x:c>
      <x:c r="B55" s="9" t="n"/>
      <x:c r="C55" s="9" t="n"/>
      <x:c r="D55" s="9" t="n"/>
      <x:c r="E55" s="9" t="n"/>
      <x:c r="F55" s="9" t="n"/>
      <x:c r="G55" s="9" t="n"/>
      <x:c r="H55" s="9" t="n"/>
      <x:c r="I55" s="8">
        <x:f>IF(OR(G55="",H55=""),"",G55*H55)</x:f>
      </x:c>
      <x:c r="J55" s="8">
        <x:f>IF(I55="","",IF(I55&gt;=15,"High",IF(I55&gt;=8,"Medium","Low")))</x:f>
      </x:c>
      <x:c r="K55" s="9" t="n"/>
      <x:c r="L55" s="8">
        <x:f>IF(OR(G55="",K55=""),"",MAX(1,G55-ROUND(K55/2,0)))</x:f>
      </x:c>
      <x:c r="M55" s="8">
        <x:f>IF(OR(H55="",K55=""),"",MAX(1,H55-ROUND(K55/3,0)))</x:f>
      </x:c>
      <x:c r="N55" s="8">
        <x:f>IF(OR(L55="",M55=""),"",L55*M55)</x:f>
      </x:c>
      <x:c r="O55" s="8">
        <x:f>IF(N55="","",IF(N55&gt;=15,"High",IF(N55&gt;=8,"Medium","Low")))</x:f>
      </x:c>
      <x:c r="P55" s="8">
        <x:f>IFERROR(VLOOKUP(B55,Control_Library!$A$2:$E$11,2,FALSE),"")</x:f>
      </x:c>
      <x:c r="Q55" s="8">
        <x:f>IFERROR(VLOOKUP(B55,Control_Library!$A$2:$E$11,3,FALSE),"")</x:f>
      </x:c>
      <x:c r="R55" s="8">
        <x:f>IFERROR(VLOOKUP(B55,Control_Library!$A$2:$E$11,4,FALSE),"")</x:f>
      </x:c>
      <x:c r="S55" s="8">
        <x:f>IFERROR(VLOOKUP(B55,Control_Library!$A$2:$E$11,5,FALSE),"")</x:f>
      </x:c>
      <x:c r="T55" s="9" t="n"/>
      <x:c r="U55" s="10" t="n"/>
      <x:c r="V55" s="9" t="n"/>
      <x:c r="W55" s="9" t="n"/>
    </x:row>
    <x:row r="56">
      <x:c r="A56" s="8">
        <x:f>IF(B56="","","R-"&amp;TEXT(ROW()-1,"000"))</x:f>
      </x:c>
      <x:c r="B56" s="9" t="n"/>
      <x:c r="C56" s="9" t="n"/>
      <x:c r="D56" s="9" t="n"/>
      <x:c r="E56" s="9" t="n"/>
      <x:c r="F56" s="9" t="n"/>
      <x:c r="G56" s="9" t="n"/>
      <x:c r="H56" s="9" t="n"/>
      <x:c r="I56" s="8">
        <x:f>IF(OR(G56="",H56=""),"",G56*H56)</x:f>
      </x:c>
      <x:c r="J56" s="8">
        <x:f>IF(I56="","",IF(I56&gt;=15,"High",IF(I56&gt;=8,"Medium","Low")))</x:f>
      </x:c>
      <x:c r="K56" s="9" t="n"/>
      <x:c r="L56" s="8">
        <x:f>IF(OR(G56="",K56=""),"",MAX(1,G56-ROUND(K56/2,0)))</x:f>
      </x:c>
      <x:c r="M56" s="8">
        <x:f>IF(OR(H56="",K56=""),"",MAX(1,H56-ROUND(K56/3,0)))</x:f>
      </x:c>
      <x:c r="N56" s="8">
        <x:f>IF(OR(L56="",M56=""),"",L56*M56)</x:f>
      </x:c>
      <x:c r="O56" s="8">
        <x:f>IF(N56="","",IF(N56&gt;=15,"High",IF(N56&gt;=8,"Medium","Low")))</x:f>
      </x:c>
      <x:c r="P56" s="8">
        <x:f>IFERROR(VLOOKUP(B56,Control_Library!$A$2:$E$11,2,FALSE),"")</x:f>
      </x:c>
      <x:c r="Q56" s="8">
        <x:f>IFERROR(VLOOKUP(B56,Control_Library!$A$2:$E$11,3,FALSE),"")</x:f>
      </x:c>
      <x:c r="R56" s="8">
        <x:f>IFERROR(VLOOKUP(B56,Control_Library!$A$2:$E$11,4,FALSE),"")</x:f>
      </x:c>
      <x:c r="S56" s="8">
        <x:f>IFERROR(VLOOKUP(B56,Control_Library!$A$2:$E$11,5,FALSE),"")</x:f>
      </x:c>
      <x:c r="T56" s="9" t="n"/>
      <x:c r="U56" s="10" t="n"/>
      <x:c r="V56" s="9" t="n"/>
      <x:c r="W56" s="9" t="n"/>
    </x:row>
    <x:row r="57">
      <x:c r="A57" s="8">
        <x:f>IF(B57="","","R-"&amp;TEXT(ROW()-1,"000"))</x:f>
      </x:c>
      <x:c r="B57" s="9" t="n"/>
      <x:c r="C57" s="9" t="n"/>
      <x:c r="D57" s="9" t="n"/>
      <x:c r="E57" s="9" t="n"/>
      <x:c r="F57" s="9" t="n"/>
      <x:c r="G57" s="9" t="n"/>
      <x:c r="H57" s="9" t="n"/>
      <x:c r="I57" s="8">
        <x:f>IF(OR(G57="",H57=""),"",G57*H57)</x:f>
      </x:c>
      <x:c r="J57" s="8">
        <x:f>IF(I57="","",IF(I57&gt;=15,"High",IF(I57&gt;=8,"Medium","Low")))</x:f>
      </x:c>
      <x:c r="K57" s="9" t="n"/>
      <x:c r="L57" s="8">
        <x:f>IF(OR(G57="",K57=""),"",MAX(1,G57-ROUND(K57/2,0)))</x:f>
      </x:c>
      <x:c r="M57" s="8">
        <x:f>IF(OR(H57="",K57=""),"",MAX(1,H57-ROUND(K57/3,0)))</x:f>
      </x:c>
      <x:c r="N57" s="8">
        <x:f>IF(OR(L57="",M57=""),"",L57*M57)</x:f>
      </x:c>
      <x:c r="O57" s="8">
        <x:f>IF(N57="","",IF(N57&gt;=15,"High",IF(N57&gt;=8,"Medium","Low")))</x:f>
      </x:c>
      <x:c r="P57" s="8">
        <x:f>IFERROR(VLOOKUP(B57,Control_Library!$A$2:$E$11,2,FALSE),"")</x:f>
      </x:c>
      <x:c r="Q57" s="8">
        <x:f>IFERROR(VLOOKUP(B57,Control_Library!$A$2:$E$11,3,FALSE),"")</x:f>
      </x:c>
      <x:c r="R57" s="8">
        <x:f>IFERROR(VLOOKUP(B57,Control_Library!$A$2:$E$11,4,FALSE),"")</x:f>
      </x:c>
      <x:c r="S57" s="8">
        <x:f>IFERROR(VLOOKUP(B57,Control_Library!$A$2:$E$11,5,FALSE),"")</x:f>
      </x:c>
      <x:c r="T57" s="9" t="n"/>
      <x:c r="U57" s="10" t="n"/>
      <x:c r="V57" s="9" t="n"/>
      <x:c r="W57" s="9" t="n"/>
    </x:row>
    <x:row r="58">
      <x:c r="A58" s="8">
        <x:f>IF(B58="","","R-"&amp;TEXT(ROW()-1,"000"))</x:f>
      </x:c>
      <x:c r="B58" s="9" t="n"/>
      <x:c r="C58" s="9" t="n"/>
      <x:c r="D58" s="9" t="n"/>
      <x:c r="E58" s="9" t="n"/>
      <x:c r="F58" s="9" t="n"/>
      <x:c r="G58" s="9" t="n"/>
      <x:c r="H58" s="9" t="n"/>
      <x:c r="I58" s="8">
        <x:f>IF(OR(G58="",H58=""),"",G58*H58)</x:f>
      </x:c>
      <x:c r="J58" s="8">
        <x:f>IF(I58="","",IF(I58&gt;=15,"High",IF(I58&gt;=8,"Medium","Low")))</x:f>
      </x:c>
      <x:c r="K58" s="9" t="n"/>
      <x:c r="L58" s="8">
        <x:f>IF(OR(G58="",K58=""),"",MAX(1,G58-ROUND(K58/2,0)))</x:f>
      </x:c>
      <x:c r="M58" s="8">
        <x:f>IF(OR(H58="",K58=""),"",MAX(1,H58-ROUND(K58/3,0)))</x:f>
      </x:c>
      <x:c r="N58" s="8">
        <x:f>IF(OR(L58="",M58=""),"",L58*M58)</x:f>
      </x:c>
      <x:c r="O58" s="8">
        <x:f>IF(N58="","",IF(N58&gt;=15,"High",IF(N58&gt;=8,"Medium","Low")))</x:f>
      </x:c>
      <x:c r="P58" s="8">
        <x:f>IFERROR(VLOOKUP(B58,Control_Library!$A$2:$E$11,2,FALSE),"")</x:f>
      </x:c>
      <x:c r="Q58" s="8">
        <x:f>IFERROR(VLOOKUP(B58,Control_Library!$A$2:$E$11,3,FALSE),"")</x:f>
      </x:c>
      <x:c r="R58" s="8">
        <x:f>IFERROR(VLOOKUP(B58,Control_Library!$A$2:$E$11,4,FALSE),"")</x:f>
      </x:c>
      <x:c r="S58" s="8">
        <x:f>IFERROR(VLOOKUP(B58,Control_Library!$A$2:$E$11,5,FALSE),"")</x:f>
      </x:c>
      <x:c r="T58" s="9" t="n"/>
      <x:c r="U58" s="10" t="n"/>
      <x:c r="V58" s="9" t="n"/>
      <x:c r="W58" s="9" t="n"/>
    </x:row>
    <x:row r="59">
      <x:c r="A59" s="8">
        <x:f>IF(B59="","","R-"&amp;TEXT(ROW()-1,"000"))</x:f>
      </x:c>
      <x:c r="B59" s="9" t="n"/>
      <x:c r="C59" s="9" t="n"/>
      <x:c r="D59" s="9" t="n"/>
      <x:c r="E59" s="9" t="n"/>
      <x:c r="F59" s="9" t="n"/>
      <x:c r="G59" s="9" t="n"/>
      <x:c r="H59" s="9" t="n"/>
      <x:c r="I59" s="8">
        <x:f>IF(OR(G59="",H59=""),"",G59*H59)</x:f>
      </x:c>
      <x:c r="J59" s="8">
        <x:f>IF(I59="","",IF(I59&gt;=15,"High",IF(I59&gt;=8,"Medium","Low")))</x:f>
      </x:c>
      <x:c r="K59" s="9" t="n"/>
      <x:c r="L59" s="8">
        <x:f>IF(OR(G59="",K59=""),"",MAX(1,G59-ROUND(K59/2,0)))</x:f>
      </x:c>
      <x:c r="M59" s="8">
        <x:f>IF(OR(H59="",K59=""),"",MAX(1,H59-ROUND(K59/3,0)))</x:f>
      </x:c>
      <x:c r="N59" s="8">
        <x:f>IF(OR(L59="",M59=""),"",L59*M59)</x:f>
      </x:c>
      <x:c r="O59" s="8">
        <x:f>IF(N59="","",IF(N59&gt;=15,"High",IF(N59&gt;=8,"Medium","Low")))</x:f>
      </x:c>
      <x:c r="P59" s="8">
        <x:f>IFERROR(VLOOKUP(B59,Control_Library!$A$2:$E$11,2,FALSE),"")</x:f>
      </x:c>
      <x:c r="Q59" s="8">
        <x:f>IFERROR(VLOOKUP(B59,Control_Library!$A$2:$E$11,3,FALSE),"")</x:f>
      </x:c>
      <x:c r="R59" s="8">
        <x:f>IFERROR(VLOOKUP(B59,Control_Library!$A$2:$E$11,4,FALSE),"")</x:f>
      </x:c>
      <x:c r="S59" s="8">
        <x:f>IFERROR(VLOOKUP(B59,Control_Library!$A$2:$E$11,5,FALSE),"")</x:f>
      </x:c>
      <x:c r="T59" s="9" t="n"/>
      <x:c r="U59" s="10" t="n"/>
      <x:c r="V59" s="9" t="n"/>
      <x:c r="W59" s="9" t="n"/>
    </x:row>
    <x:row r="60">
      <x:c r="A60" s="8">
        <x:f>IF(B60="","","R-"&amp;TEXT(ROW()-1,"000"))</x:f>
      </x:c>
      <x:c r="B60" s="9" t="n"/>
      <x:c r="C60" s="9" t="n"/>
      <x:c r="D60" s="9" t="n"/>
      <x:c r="E60" s="9" t="n"/>
      <x:c r="F60" s="9" t="n"/>
      <x:c r="G60" s="9" t="n"/>
      <x:c r="H60" s="9" t="n"/>
      <x:c r="I60" s="8">
        <x:f>IF(OR(G60="",H60=""),"",G60*H60)</x:f>
      </x:c>
      <x:c r="J60" s="8">
        <x:f>IF(I60="","",IF(I60&gt;=15,"High",IF(I60&gt;=8,"Medium","Low")))</x:f>
      </x:c>
      <x:c r="K60" s="9" t="n"/>
      <x:c r="L60" s="8">
        <x:f>IF(OR(G60="",K60=""),"",MAX(1,G60-ROUND(K60/2,0)))</x:f>
      </x:c>
      <x:c r="M60" s="8">
        <x:f>IF(OR(H60="",K60=""),"",MAX(1,H60-ROUND(K60/3,0)))</x:f>
      </x:c>
      <x:c r="N60" s="8">
        <x:f>IF(OR(L60="",M60=""),"",L60*M60)</x:f>
      </x:c>
      <x:c r="O60" s="8">
        <x:f>IF(N60="","",IF(N60&gt;=15,"High",IF(N60&gt;=8,"Medium","Low")))</x:f>
      </x:c>
      <x:c r="P60" s="8">
        <x:f>IFERROR(VLOOKUP(B60,Control_Library!$A$2:$E$11,2,FALSE),"")</x:f>
      </x:c>
      <x:c r="Q60" s="8">
        <x:f>IFERROR(VLOOKUP(B60,Control_Library!$A$2:$E$11,3,FALSE),"")</x:f>
      </x:c>
      <x:c r="R60" s="8">
        <x:f>IFERROR(VLOOKUP(B60,Control_Library!$A$2:$E$11,4,FALSE),"")</x:f>
      </x:c>
      <x:c r="S60" s="8">
        <x:f>IFERROR(VLOOKUP(B60,Control_Library!$A$2:$E$11,5,FALSE),"")</x:f>
      </x:c>
      <x:c r="T60" s="9" t="n"/>
      <x:c r="U60" s="10" t="n"/>
      <x:c r="V60" s="9" t="n"/>
      <x:c r="W60" s="9" t="n"/>
    </x:row>
    <x:row r="61">
      <x:c r="A61" s="8">
        <x:f>IF(B61="","","R-"&amp;TEXT(ROW()-1,"000"))</x:f>
      </x:c>
      <x:c r="B61" s="9" t="n"/>
      <x:c r="C61" s="9" t="n"/>
      <x:c r="D61" s="9" t="n"/>
      <x:c r="E61" s="9" t="n"/>
      <x:c r="F61" s="9" t="n"/>
      <x:c r="G61" s="9" t="n"/>
      <x:c r="H61" s="9" t="n"/>
      <x:c r="I61" s="8">
        <x:f>IF(OR(G61="",H61=""),"",G61*H61)</x:f>
      </x:c>
      <x:c r="J61" s="8">
        <x:f>IF(I61="","",IF(I61&gt;=15,"High",IF(I61&gt;=8,"Medium","Low")))</x:f>
      </x:c>
      <x:c r="K61" s="9" t="n"/>
      <x:c r="L61" s="8">
        <x:f>IF(OR(G61="",K61=""),"",MAX(1,G61-ROUND(K61/2,0)))</x:f>
      </x:c>
      <x:c r="M61" s="8">
        <x:f>IF(OR(H61="",K61=""),"",MAX(1,H61-ROUND(K61/3,0)))</x:f>
      </x:c>
      <x:c r="N61" s="8">
        <x:f>IF(OR(L61="",M61=""),"",L61*M61)</x:f>
      </x:c>
      <x:c r="O61" s="8">
        <x:f>IF(N61="","",IF(N61&gt;=15,"High",IF(N61&gt;=8,"Medium","Low")))</x:f>
      </x:c>
      <x:c r="P61" s="8">
        <x:f>IFERROR(VLOOKUP(B61,Control_Library!$A$2:$E$11,2,FALSE),"")</x:f>
      </x:c>
      <x:c r="Q61" s="8">
        <x:f>IFERROR(VLOOKUP(B61,Control_Library!$A$2:$E$11,3,FALSE),"")</x:f>
      </x:c>
      <x:c r="R61" s="8">
        <x:f>IFERROR(VLOOKUP(B61,Control_Library!$A$2:$E$11,4,FALSE),"")</x:f>
      </x:c>
      <x:c r="S61" s="8">
        <x:f>IFERROR(VLOOKUP(B61,Control_Library!$A$2:$E$11,5,FALSE),"")</x:f>
      </x:c>
      <x:c r="T61" s="9" t="n"/>
      <x:c r="U61" s="10" t="n"/>
      <x:c r="V61" s="9" t="n"/>
      <x:c r="W61" s="9" t="n"/>
    </x:row>
  </x:sheetData>
  <x:conditionalFormatting sqref="J2:J61">
    <x:cfRule type="cellIs" dxfId="0" priority="1" operator="equal">
      <x:formula>"High"</x:formula>
    </x:cfRule>
    <x:cfRule type="cellIs" dxfId="1" priority="2" operator="equal">
      <x:formula>"Medium"</x:formula>
    </x:cfRule>
    <x:cfRule type="cellIs" dxfId="2" priority="3" operator="equal">
      <x:formula>"Low"</x:formula>
    </x:cfRule>
  </x:conditionalFormatting>
  <x:conditionalFormatting sqref="O2:O61">
    <x:cfRule type="cellIs" dxfId="0" priority="4" operator="equal">
      <x:formula>"High"</x:formula>
    </x:cfRule>
    <x:cfRule type="cellIs" dxfId="1" priority="5" operator="equal">
      <x:formula>"Medium"</x:formula>
    </x:cfRule>
    <x:cfRule type="cellIs" dxfId="2" priority="6" operator="equal">
      <x:formula>"Low"</x:formula>
    </x:cfRule>
  </x:conditionalFormatting>
  <x:conditionalFormatting sqref="I2:I61">
    <x:cfRule type="cellIs" dxfId="0" priority="7" operator="greaterThanOrEqual">
      <x:formula>15</x:formula>
    </x:cfRule>
    <x:cfRule type="cellIs" dxfId="1" priority="8" operator="between">
      <x:formula>8</x:formula>
      <x:formula>14</x:formula>
    </x:cfRule>
    <x:cfRule type="cellIs" dxfId="2" priority="9" operator="lessThan">
      <x:formula>8</x:formula>
    </x:cfRule>
  </x:conditionalFormatting>
  <x:conditionalFormatting sqref="N2:N61">
    <x:cfRule type="cellIs" dxfId="0" priority="10" operator="greaterThanOrEqual">
      <x:formula>15</x:formula>
    </x:cfRule>
    <x:cfRule type="cellIs" dxfId="1" priority="11" operator="between">
      <x:formula>8</x:formula>
      <x:formula>14</x:formula>
    </x:cfRule>
    <x:cfRule type="cellIs" dxfId="2" priority="12" operator="lessThan">
      <x:formula>8</x:formula>
    </x:cfRule>
  </x:conditionalFormatting>
  <x:dataValidations count="4">
    <x:dataValidation type="list" allowBlank="1" showDropDown="0" showInputMessage="0" showErrorMessage="0" sqref="B2:B61">
      <x:formula1>=Lookup_Lists!$A$2:$A$11</x:formula1>
    </x:dataValidation>
    <x:dataValidation type="list" allowBlank="1" showDropDown="0" showInputMessage="0" showErrorMessage="0" sqref="V2:V61">
      <x:formula1>=Lookup_Lists!$C$2:$C$6</x:formula1>
    </x:dataValidation>
    <x:dataValidation type="list" allowBlank="1" showDropDown="0" showInputMessage="0" showErrorMessage="0" sqref="T2:T61">
      <x:formula1>=Lookup_Lists!$E$2:$E$7</x:formula1>
    </x:dataValidation>
    <x:dataValidation type="whole" operator="between" allowBlank="1" showDropDown="0" showInputMessage="0" showErrorMessage="0" sqref="G2:H61 K2:K61">
      <x:formula1>1</x:formula1>
      <x:formula2>5</x:formula2>
    </x:dataValidation>
  </x:dataValidations>
  <x:pageMargins left="0.7" right="0.7" top="0.75" bottom="0.75" header="0.3" footer="0.3"/>
  <x:legacyDrawing xmlns:r="http://schemas.openxmlformats.org/officeDocument/2006/relationships" r:id="R87b4e34a44d647c2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2" customWidth="1"/>
    <x:col min="3" max="3" width="14" customWidth="1"/>
    <x:col min="4" max="4" width="12" customWidth="1"/>
    <x:col min="5" max="5" width="4" customWidth="1"/>
    <x:col min="6" max="6" width="16" customWidth="1"/>
    <x:col min="7" max="7" width="10" customWidth="1"/>
    <x:col min="8" max="8" width="14" customWidth="1"/>
  </x:cols>
  <x:sheetData>
    <x:row r="1">
      <x:c r="A1" s="1" t="inlineStr">
        <x:is>
          <x:t xml:space="preserve">GRC Dashboard</x:t>
        </x:is>
      </x:c>
    </x:row>
    <x:row r="3">
      <x:c r="A3" s="11" t="inlineStr">
        <x:is>
          <x:t xml:space="preserve">Total risks</x:t>
        </x:is>
      </x:c>
      <x:c r="B3" s="12" t="n"/>
      <x:c r="C3" s="11" t="inlineStr">
        <x:is>
          <x:t xml:space="preserve">High inherent</x:t>
        </x:is>
      </x:c>
      <x:c r="D3" s="12" t="n"/>
      <x:c r="E3" s="11" t="inlineStr">
        <x:is>
          <x:t xml:space="preserve">High residual</x:t>
        </x:is>
      </x:c>
      <x:c r="F3" s="12" t="n"/>
    </x:row>
    <x:row r="4">
      <x:c r="A4" s="13">
        <x:f>COUNTA(Risk_Register!$D$2:$D$61)</x:f>
        <x:v>4</x:v>
      </x:c>
      <x:c r="B4" s="12" t="n"/>
      <x:c r="C4" s="13">
        <x:f>COUNTIF(Risk_Register!$J$2:$J$61,"High")</x:f>
        <x:v>3</x:v>
      </x:c>
      <x:c r="D4" s="12" t="n"/>
      <x:c r="E4" s="13">
        <x:f>COUNTIF(Risk_Register!$O$2:$O$61,"High")</x:f>
        <x:v>0</x:v>
      </x:c>
      <x:c r="F4" s="12" t="n"/>
    </x:row>
    <x:row r="6">
      <x:c r="A6" s="11" t="inlineStr">
        <x:is>
          <x:t xml:space="preserve">Open / in progress</x:t>
        </x:is>
      </x:c>
      <x:c r="B6" s="12" t="n"/>
      <x:c r="C6" s="11" t="inlineStr">
        <x:is>
          <x:t xml:space="preserve">Average residual score</x:t>
        </x:is>
      </x:c>
      <x:c r="D6" s="12" t="n"/>
      <x:c r="E6" s="11" t="inlineStr">
        <x:is>
          <x:t xml:space="preserve">Overdue actions</x:t>
        </x:is>
      </x:c>
      <x:c r="F6" s="12" t="n"/>
    </x:row>
    <x:row r="7">
      <x:c r="A7" s="13">
        <x:f>COUNTIF(Risk_Register!$V$2:$V$61,"Open")+COUNTIF(Risk_Register!$V$2:$V$61,"In Progress")</x:f>
        <x:v>4</x:v>
      </x:c>
      <x:c r="B7" s="12" t="n"/>
      <x:c r="C7" s="13">
        <x:f>IFERROR(AVERAGEIF(Risk_Register!$N$2:$N$61,"&gt;0"),0)</x:f>
        <x:v>7</x:v>
      </x:c>
      <x:c r="D7" s="12" t="n"/>
      <x:c r="E7" s="13">
        <x:f>COUNTIFS(Risk_Register!$U$2:$U$61,"&lt;"&amp;TODAY(),Risk_Register!$V$2:$V$61,"&lt;&gt;Closed",Risk_Register!$U$2:$U$61,"&lt;&gt;")</x:f>
        <x:v>0</x:v>
      </x:c>
      <x:c r="F7" s="12" t="n"/>
    </x:row>
    <x:row r="10">
      <x:c r="A10" s="2" t="inlineStr">
        <x:is>
          <x:t xml:space="preserve">Residual risk by domain</x:t>
        </x:is>
      </x:c>
      <x:c r="F10" s="2" t="inlineStr">
        <x:is>
          <x:t xml:space="preserve">Status summary</x:t>
        </x:is>
      </x:c>
    </x:row>
    <x:row r="11">
      <x:c r="A11" s="4" t="inlineStr">
        <x:is>
          <x:t xml:space="preserve">Domain</x:t>
        </x:is>
      </x:c>
      <x:c r="B11" s="4" t="inlineStr">
        <x:is>
          <x:t xml:space="preserve">Total Risks</x:t>
        </x:is>
      </x:c>
      <x:c r="C11" s="4" t="inlineStr">
        <x:is>
          <x:t xml:space="preserve">High Residual</x:t>
        </x:is>
      </x:c>
      <x:c r="D11" s="4" t="inlineStr">
        <x:is>
          <x:t xml:space="preserve">Open Risks</x:t>
        </x:is>
      </x:c>
      <x:c r="F11" s="4" t="inlineStr">
        <x:is>
          <x:t xml:space="preserve">Status</x:t>
        </x:is>
      </x:c>
      <x:c r="G11" s="4" t="inlineStr">
        <x:is>
          <x:t xml:space="preserve">Count</x:t>
        </x:is>
      </x:c>
    </x:row>
    <x:row r="12">
      <x:c r="A12" t="inlineStr">
        <x:is>
          <x:t xml:space="preserve">Access Control</x:t>
        </x:is>
      </x:c>
      <x:c r="B12">
        <x:f>COUNTIF(Risk_Register!$B$2:$B$61,A12)</x:f>
        <x:v>0</x:v>
      </x:c>
      <x:c r="C12">
        <x:f>COUNTIFS(Risk_Register!$B$2:$B$61,A12,Risk_Register!$O$2:$O$61,"High")</x:f>
        <x:v>0</x:v>
      </x:c>
      <x:c r="D12">
        <x:f>COUNTIFS(Risk_Register!$B$2:$B$61,A12,Risk_Register!$V$2:$V$61,"Open")+COUNTIFS(Risk_Register!$B$2:$B$61,A12,Risk_Register!$V$2:$V$61,"In Progress")</x:f>
        <x:v>0</x:v>
      </x:c>
      <x:c r="F12" t="inlineStr">
        <x:is>
          <x:t xml:space="preserve">Open</x:t>
        </x:is>
      </x:c>
      <x:c r="G12">
        <x:f>COUNTIF(Risk_Register!$V$2:$V$61,F12)</x:f>
        <x:v>3</x:v>
      </x:c>
    </x:row>
    <x:row r="13">
      <x:c r="A13" t="inlineStr">
        <x:is>
          <x:t xml:space="preserve">Data Protection / DLP</x:t>
        </x:is>
      </x:c>
      <x:c r="B13">
        <x:f>COUNTIF(Risk_Register!$B$2:$B$61,A13)</x:f>
        <x:v>1</x:v>
      </x:c>
      <x:c r="C13">
        <x:f>COUNTIFS(Risk_Register!$B$2:$B$61,A13,Risk_Register!$O$2:$O$61,"High")</x:f>
        <x:v>0</x:v>
      </x:c>
      <x:c r="D13">
        <x:f>COUNTIFS(Risk_Register!$B$2:$B$61,A13,Risk_Register!$V$2:$V$61,"Open")+COUNTIFS(Risk_Register!$B$2:$B$61,A13,Risk_Register!$V$2:$V$61,"In Progress")</x:f>
        <x:v>1</x:v>
      </x:c>
      <x:c r="F13" t="inlineStr">
        <x:is>
          <x:t xml:space="preserve">In Progress</x:t>
        </x:is>
      </x:c>
      <x:c r="G13">
        <x:f>COUNTIF(Risk_Register!$V$2:$V$61,F13)</x:f>
        <x:v>1</x:v>
      </x:c>
    </x:row>
    <x:row r="14">
      <x:c r="A14" t="inlineStr">
        <x:is>
          <x:t xml:space="preserve">Asset Inventory</x:t>
        </x:is>
      </x:c>
      <x:c r="B14">
        <x:f>COUNTIF(Risk_Register!$B$2:$B$61,A14)</x:f>
        <x:v>0</x:v>
      </x:c>
      <x:c r="C14">
        <x:f>COUNTIFS(Risk_Register!$B$2:$B$61,A14,Risk_Register!$O$2:$O$61,"High")</x:f>
        <x:v>0</x:v>
      </x:c>
      <x:c r="D14">
        <x:f>COUNTIFS(Risk_Register!$B$2:$B$61,A14,Risk_Register!$V$2:$V$61,"Open")+COUNTIFS(Risk_Register!$B$2:$B$61,A14,Risk_Register!$V$2:$V$61,"In Progress")</x:f>
        <x:v>0</x:v>
      </x:c>
      <x:c r="F14" t="inlineStr">
        <x:is>
          <x:t xml:space="preserve">Mitigated</x:t>
        </x:is>
      </x:c>
      <x:c r="G14">
        <x:f>COUNTIF(Risk_Register!$V$2:$V$61,F14)</x:f>
        <x:v>0</x:v>
      </x:c>
    </x:row>
    <x:row r="15">
      <x:c r="A15" t="inlineStr">
        <x:is>
          <x:t xml:space="preserve">Third-Party Risk</x:t>
        </x:is>
      </x:c>
      <x:c r="B15">
        <x:f>COUNTIF(Risk_Register!$B$2:$B$61,A15)</x:f>
        <x:v>1</x:v>
      </x:c>
      <x:c r="C15">
        <x:f>COUNTIFS(Risk_Register!$B$2:$B$61,A15,Risk_Register!$O$2:$O$61,"High")</x:f>
        <x:v>0</x:v>
      </x:c>
      <x:c r="D15">
        <x:f>COUNTIFS(Risk_Register!$B$2:$B$61,A15,Risk_Register!$V$2:$V$61,"Open")+COUNTIFS(Risk_Register!$B$2:$B$61,A15,Risk_Register!$V$2:$V$61,"In Progress")</x:f>
        <x:v>1</x:v>
      </x:c>
      <x:c r="F15" t="inlineStr">
        <x:is>
          <x:t xml:space="preserve">Accepted</x:t>
        </x:is>
      </x:c>
      <x:c r="G15">
        <x:f>COUNTIF(Risk_Register!$V$2:$V$61,F15)</x:f>
        <x:v>0</x:v>
      </x:c>
    </x:row>
    <x:row r="16">
      <x:c r="A16" t="inlineStr">
        <x:is>
          <x:t xml:space="preserve">Vulnerability Management</x:t>
        </x:is>
      </x:c>
      <x:c r="B16">
        <x:f>COUNTIF(Risk_Register!$B$2:$B$61,A16)</x:f>
        <x:v>0</x:v>
      </x:c>
      <x:c r="C16">
        <x:f>COUNTIFS(Risk_Register!$B$2:$B$61,A16,Risk_Register!$O$2:$O$61,"High")</x:f>
        <x:v>0</x:v>
      </x:c>
      <x:c r="D16">
        <x:f>COUNTIFS(Risk_Register!$B$2:$B$61,A16,Risk_Register!$V$2:$V$61,"Open")+COUNTIFS(Risk_Register!$B$2:$B$61,A16,Risk_Register!$V$2:$V$61,"In Progress")</x:f>
        <x:v>0</x:v>
      </x:c>
      <x:c r="F16" t="inlineStr">
        <x:is>
          <x:t xml:space="preserve">Closed</x:t>
        </x:is>
      </x:c>
      <x:c r="G16">
        <x:f>COUNTIF(Risk_Register!$V$2:$V$61,F16)</x:f>
        <x:v>0</x:v>
      </x:c>
    </x:row>
    <x:row r="17">
      <x:c r="A17" t="inlineStr">
        <x:is>
          <x:t xml:space="preserve">Logging &amp; Monitoring</x:t>
        </x:is>
      </x:c>
      <x:c r="B17">
        <x:f>COUNTIF(Risk_Register!$B$2:$B$61,A17)</x:f>
        <x:v>1</x:v>
      </x:c>
      <x:c r="C17">
        <x:f>COUNTIFS(Risk_Register!$B$2:$B$61,A17,Risk_Register!$O$2:$O$61,"High")</x:f>
        <x:v>0</x:v>
      </x:c>
      <x:c r="D17">
        <x:f>COUNTIFS(Risk_Register!$B$2:$B$61,A17,Risk_Register!$V$2:$V$61,"Open")+COUNTIFS(Risk_Register!$B$2:$B$61,A17,Risk_Register!$V$2:$V$61,"In Progress")</x:f>
        <x:v>1</x:v>
      </x:c>
    </x:row>
    <x:row r="18">
      <x:c r="A18" t="inlineStr">
        <x:is>
          <x:t xml:space="preserve">Incident Response</x:t>
        </x:is>
      </x:c>
      <x:c r="B18">
        <x:f>COUNTIF(Risk_Register!$B$2:$B$61,A18)</x:f>
        <x:v>0</x:v>
      </x:c>
      <x:c r="C18">
        <x:f>COUNTIFS(Risk_Register!$B$2:$B$61,A18,Risk_Register!$O$2:$O$61,"High")</x:f>
        <x:v>0</x:v>
      </x:c>
      <x:c r="D18">
        <x:f>COUNTIFS(Risk_Register!$B$2:$B$61,A18,Risk_Register!$V$2:$V$61,"Open")+COUNTIFS(Risk_Register!$B$2:$B$61,A18,Risk_Register!$V$2:$V$61,"In Progress")</x:f>
        <x:v>0</x:v>
      </x:c>
    </x:row>
    <x:row r="19">
      <x:c r="A19" t="inlineStr">
        <x:is>
          <x:t xml:space="preserve">Backup &amp; Recovery</x:t>
        </x:is>
      </x:c>
      <x:c r="B19">
        <x:f>COUNTIF(Risk_Register!$B$2:$B$61,A19)</x:f>
        <x:v>0</x:v>
      </x:c>
      <x:c r="C19">
        <x:f>COUNTIFS(Risk_Register!$B$2:$B$61,A19,Risk_Register!$O$2:$O$61,"High")</x:f>
        <x:v>0</x:v>
      </x:c>
      <x:c r="D19">
        <x:f>COUNTIFS(Risk_Register!$B$2:$B$61,A19,Risk_Register!$V$2:$V$61,"Open")+COUNTIFS(Risk_Register!$B$2:$B$61,A19,Risk_Register!$V$2:$V$61,"In Progress")</x:f>
        <x:v>0</x:v>
      </x:c>
    </x:row>
    <x:row r="20">
      <x:c r="A20" t="inlineStr">
        <x:is>
          <x:t xml:space="preserve">Network Segmentation</x:t>
        </x:is>
      </x:c>
      <x:c r="B20">
        <x:f>COUNTIF(Risk_Register!$B$2:$B$61,A20)</x:f>
        <x:v>0</x:v>
      </x:c>
      <x:c r="C20">
        <x:f>COUNTIFS(Risk_Register!$B$2:$B$61,A20,Risk_Register!$O$2:$O$61,"High")</x:f>
        <x:v>0</x:v>
      </x:c>
      <x:c r="D20">
        <x:f>COUNTIFS(Risk_Register!$B$2:$B$61,A20,Risk_Register!$V$2:$V$61,"Open")+COUNTIFS(Risk_Register!$B$2:$B$61,A20,Risk_Register!$V$2:$V$61,"In Progress")</x:f>
        <x:v>0</x:v>
      </x:c>
    </x:row>
    <x:row r="21">
      <x:c r="A21" t="inlineStr">
        <x:is>
          <x:t xml:space="preserve">OT / ICS Security</x:t>
        </x:is>
      </x:c>
      <x:c r="B21">
        <x:f>COUNTIF(Risk_Register!$B$2:$B$61,A21)</x:f>
        <x:v>1</x:v>
      </x:c>
      <x:c r="C21">
        <x:f>COUNTIFS(Risk_Register!$B$2:$B$61,A21,Risk_Register!$O$2:$O$61,"High")</x:f>
        <x:v>0</x:v>
      </x:c>
      <x:c r="D21">
        <x:f>COUNTIFS(Risk_Register!$B$2:$B$61,A21,Risk_Register!$V$2:$V$61,"Open")+COUNTIFS(Risk_Register!$B$2:$B$61,A21,Risk_Register!$V$2:$V$61,"In Progress")</x:f>
        <x:v>1</x:v>
      </x:c>
    </x:row>
    <x:row r="24">
      <x:c r="A24" s="2" t="inlineStr">
        <x:is>
          <x:t xml:space="preserve">Likelihood / Impact heatmap</x:t>
        </x:is>
      </x:c>
    </x:row>
    <x:row r="25">
      <x:c r="B25" s="14" t="n">
        <x:v>1</x:v>
      </x:c>
      <x:c r="C25" s="14" t="n">
        <x:v>2</x:v>
      </x:c>
      <x:c r="D25" s="14" t="n">
        <x:v>3</x:v>
      </x:c>
      <x:c r="E25" s="14" t="n">
        <x:v>4</x:v>
      </x:c>
      <x:c r="F25" s="14" t="n">
        <x:v>5</x:v>
      </x:c>
    </x:row>
    <x:row r="26">
      <x:c r="A26" s="15" t="n">
        <x:v>1</x:v>
      </x:c>
      <x:c r="B26" s="16">
        <x:f>COUNTIFS(Risk_Register!$L$2:$L$61,$A26,Risk_Register!$M$2:$M$61,B$25)</x:f>
        <x:v>0</x:v>
      </x:c>
      <x:c r="C26" s="16">
        <x:f>COUNTIFS(Risk_Register!$L$2:$L$61,$A26,Risk_Register!$M$2:$M$61,C$25)</x:f>
        <x:v>0</x:v>
      </x:c>
      <x:c r="D26" s="16">
        <x:f>COUNTIFS(Risk_Register!$L$2:$L$61,$A26,Risk_Register!$M$2:$M$61,D$25)</x:f>
        <x:v>0</x:v>
      </x:c>
      <x:c r="E26" s="16">
        <x:f>COUNTIFS(Risk_Register!$L$2:$L$61,$A26,Risk_Register!$M$2:$M$61,E$25)</x:f>
        <x:v>0</x:v>
      </x:c>
      <x:c r="F26" s="16">
        <x:f>COUNTIFS(Risk_Register!$L$2:$L$61,$A26,Risk_Register!$M$2:$M$61,F$25)</x:f>
        <x:v>0</x:v>
      </x:c>
      <x:c r="G26" s="17" t="n"/>
      <x:c r="H26" s="17" t="n"/>
      <x:c r="I26" s="17" t="n"/>
      <x:c r="J26" s="17" t="n"/>
      <x:c r="K26" s="17" t="n"/>
      <x:c r="L26" s="17" t="n"/>
      <x:c r="M26" s="17" t="n"/>
      <x:c r="N26" s="17" t="n"/>
      <x:c r="O26" s="17" t="n"/>
      <x:c r="P26" s="17" t="n"/>
      <x:c r="Q26" s="17" t="n"/>
      <x:c r="R26" s="17" t="n"/>
      <x:c r="S26" s="17" t="n"/>
      <x:c r="T26" s="17" t="n"/>
      <x:c r="U26" s="17" t="n"/>
      <x:c r="V26" s="17" t="n"/>
      <x:c r="W26" s="17" t="n"/>
      <x:c r="X26" s="17" t="n"/>
      <x:c r="Y26" s="17" t="n"/>
      <x:c r="Z26" s="17" t="n"/>
      <x:c r="AA26" s="17" t="n"/>
      <x:c r="AB26" s="17" t="n"/>
      <x:c r="AC26" s="17" t="n"/>
      <x:c r="AD26" s="17" t="n"/>
    </x:row>
    <x:row r="27">
      <x:c r="A27" s="18" t="n">
        <x:v>2</x:v>
      </x:c>
      <x:c r="B27" s="19">
        <x:f>COUNTIFS(Risk_Register!$L$2:$L$61,$A27,Risk_Register!$M$2:$M$61,B$25)</x:f>
        <x:v>0</x:v>
      </x:c>
      <x:c r="C27" s="19">
        <x:f>COUNTIFS(Risk_Register!$L$2:$L$61,$A27,Risk_Register!$M$2:$M$61,C$25)</x:f>
        <x:v>0</x:v>
      </x:c>
      <x:c r="D27" s="19">
        <x:f>COUNTIFS(Risk_Register!$L$2:$L$61,$A27,Risk_Register!$M$2:$M$61,D$25)</x:f>
        <x:v>2</x:v>
      </x:c>
      <x:c r="E27" s="19">
        <x:f>COUNTIFS(Risk_Register!$L$2:$L$61,$A27,Risk_Register!$M$2:$M$61,E$25)</x:f>
        <x:v>2</x:v>
      </x:c>
      <x:c r="F27" s="19">
        <x:f>COUNTIFS(Risk_Register!$L$2:$L$61,$A27,Risk_Register!$M$2:$M$61,F$25)</x:f>
        <x:v>0</x:v>
      </x:c>
    </x:row>
    <x:row r="28">
      <x:c r="A28" s="18" t="n">
        <x:v>3</x:v>
      </x:c>
      <x:c r="B28" s="19">
        <x:f>COUNTIFS(Risk_Register!$L$2:$L$61,$A28,Risk_Register!$M$2:$M$61,B$25)</x:f>
        <x:v>0</x:v>
      </x:c>
      <x:c r="C28" s="19">
        <x:f>COUNTIFS(Risk_Register!$L$2:$L$61,$A28,Risk_Register!$M$2:$M$61,C$25)</x:f>
        <x:v>0</x:v>
      </x:c>
      <x:c r="D28" s="19">
        <x:f>COUNTIFS(Risk_Register!$L$2:$L$61,$A28,Risk_Register!$M$2:$M$61,D$25)</x:f>
        <x:v>0</x:v>
      </x:c>
      <x:c r="E28" s="19">
        <x:f>COUNTIFS(Risk_Register!$L$2:$L$61,$A28,Risk_Register!$M$2:$M$61,E$25)</x:f>
        <x:v>0</x:v>
      </x:c>
      <x:c r="F28" s="19">
        <x:f>COUNTIFS(Risk_Register!$L$2:$L$61,$A28,Risk_Register!$M$2:$M$61,F$25)</x:f>
        <x:v>0</x:v>
      </x:c>
    </x:row>
    <x:row r="29">
      <x:c r="A29" s="18" t="n">
        <x:v>4</x:v>
      </x:c>
      <x:c r="B29" s="19">
        <x:f>COUNTIFS(Risk_Register!$L$2:$L$61,$A29,Risk_Register!$M$2:$M$61,B$25)</x:f>
        <x:v>0</x:v>
      </x:c>
      <x:c r="C29" s="19">
        <x:f>COUNTIFS(Risk_Register!$L$2:$L$61,$A29,Risk_Register!$M$2:$M$61,C$25)</x:f>
        <x:v>0</x:v>
      </x:c>
      <x:c r="D29" s="19">
        <x:f>COUNTIFS(Risk_Register!$L$2:$L$61,$A29,Risk_Register!$M$2:$M$61,D$25)</x:f>
        <x:v>0</x:v>
      </x:c>
      <x:c r="E29" s="19">
        <x:f>COUNTIFS(Risk_Register!$L$2:$L$61,$A29,Risk_Register!$M$2:$M$61,E$25)</x:f>
        <x:v>0</x:v>
      </x:c>
      <x:c r="F29" s="19">
        <x:f>COUNTIFS(Risk_Register!$L$2:$L$61,$A29,Risk_Register!$M$2:$M$61,F$25)</x:f>
        <x:v>0</x:v>
      </x:c>
    </x:row>
    <x:row r="30">
      <x:c r="A30" s="18" t="n">
        <x:v>5</x:v>
      </x:c>
      <x:c r="B30" s="19">
        <x:f>COUNTIFS(Risk_Register!$L$2:$L$61,$A30,Risk_Register!$M$2:$M$61,B$25)</x:f>
        <x:v>0</x:v>
      </x:c>
      <x:c r="C30" s="19">
        <x:f>COUNTIFS(Risk_Register!$L$2:$L$61,$A30,Risk_Register!$M$2:$M$61,C$25)</x:f>
        <x:v>0</x:v>
      </x:c>
      <x:c r="D30" s="19">
        <x:f>COUNTIFS(Risk_Register!$L$2:$L$61,$A30,Risk_Register!$M$2:$M$61,D$25)</x:f>
        <x:v>0</x:v>
      </x:c>
      <x:c r="E30" s="19">
        <x:f>COUNTIFS(Risk_Register!$L$2:$L$61,$A30,Risk_Register!$M$2:$M$61,E$25)</x:f>
        <x:v>0</x:v>
      </x:c>
      <x:c r="F30" s="19">
        <x:f>COUNTIFS(Risk_Register!$L$2:$L$61,$A30,Risk_Register!$M$2:$M$61,F$25)</x:f>
        <x:v>0</x:v>
      </x:c>
    </x:row>
  </x:sheetData>
  <x:mergeCells>
    <x:mergeCell ref="A4:B4"/>
    <x:mergeCell ref="E4:F4"/>
    <x:mergeCell ref="E6:F6"/>
    <x:mergeCell ref="C6:D6"/>
    <x:mergeCell ref="C7:D7"/>
    <x:mergeCell ref="A7:B7"/>
    <x:mergeCell ref="E7:F7"/>
    <x:mergeCell ref="A1:H1"/>
    <x:mergeCell ref="C3:D3"/>
    <x:mergeCell ref="A3:B3"/>
    <x:mergeCell ref="A6:B6"/>
    <x:mergeCell ref="E3:F3"/>
    <x:mergeCell ref="C4:D4"/>
  </x:mergeCells>
  <x:conditionalFormatting sqref="B26:F30">
    <x:cfRule type="cellIs" dxfId="0" priority="1" operator="greaterThanOrEqual">
      <x:formula>3</x:formula>
    </x:cfRule>
    <x:cfRule type="cellIs" dxfId="1" priority="2" operator="between">
      <x:formula>1</x:formula>
      <x:formula>2</x:formula>
    </x:cfRule>
  </x:conditionalFormatting>
  <x:pageMargins left="0.7" right="0.7" top="0.75" bottom="0.75" header="0.3" footer="0.3"/>
</x:worksheet>
</file>