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P ELITEBOOK 840 G8\Downloads\"/>
    </mc:Choice>
  </mc:AlternateContent>
  <xr:revisionPtr revIDLastSave="0" documentId="13_ncr:1_{AAE119E3-E8C7-4C41-8BF9-BBEF2F364C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verview" sheetId="1" r:id="rId1"/>
    <sheet name="Lookup_Lists" sheetId="2" r:id="rId2"/>
    <sheet name="Control_Library" sheetId="3" r:id="rId3"/>
    <sheet name="Risk_Register" sheetId="4" r:id="rId4"/>
    <sheet name="Dashboa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1" i="5" l="1"/>
  <c r="B21" i="5"/>
  <c r="D20" i="5"/>
  <c r="C20" i="5"/>
  <c r="B20" i="5"/>
  <c r="D19" i="5"/>
  <c r="C19" i="5"/>
  <c r="B19" i="5"/>
  <c r="D18" i="5"/>
  <c r="C18" i="5"/>
  <c r="B18" i="5"/>
  <c r="D17" i="5"/>
  <c r="B17" i="5"/>
  <c r="G16" i="5"/>
  <c r="D16" i="5"/>
  <c r="C16" i="5"/>
  <c r="B16" i="5"/>
  <c r="G15" i="5"/>
  <c r="D15" i="5"/>
  <c r="B15" i="5"/>
  <c r="G14" i="5"/>
  <c r="D14" i="5"/>
  <c r="C14" i="5"/>
  <c r="B14" i="5"/>
  <c r="G13" i="5"/>
  <c r="D13" i="5"/>
  <c r="B13" i="5"/>
  <c r="G12" i="5"/>
  <c r="D12" i="5"/>
  <c r="C12" i="5"/>
  <c r="B12" i="5"/>
  <c r="E7" i="5"/>
  <c r="A7" i="5"/>
  <c r="A4" i="5"/>
  <c r="S61" i="4"/>
  <c r="R61" i="4"/>
  <c r="Q61" i="4"/>
  <c r="P61" i="4"/>
  <c r="M61" i="4"/>
  <c r="L61" i="4"/>
  <c r="N61" i="4" s="1"/>
  <c r="O61" i="4" s="1"/>
  <c r="I61" i="4"/>
  <c r="J61" i="4" s="1"/>
  <c r="A61" i="4"/>
  <c r="S60" i="4"/>
  <c r="R60" i="4"/>
  <c r="Q60" i="4"/>
  <c r="P60" i="4"/>
  <c r="M60" i="4"/>
  <c r="L60" i="4"/>
  <c r="N60" i="4" s="1"/>
  <c r="O60" i="4" s="1"/>
  <c r="I60" i="4"/>
  <c r="J60" i="4" s="1"/>
  <c r="A60" i="4"/>
  <c r="S59" i="4"/>
  <c r="R59" i="4"/>
  <c r="Q59" i="4"/>
  <c r="P59" i="4"/>
  <c r="M59" i="4"/>
  <c r="L59" i="4"/>
  <c r="N59" i="4" s="1"/>
  <c r="O59" i="4" s="1"/>
  <c r="I59" i="4"/>
  <c r="J59" i="4" s="1"/>
  <c r="A59" i="4"/>
  <c r="S58" i="4"/>
  <c r="R58" i="4"/>
  <c r="Q58" i="4"/>
  <c r="P58" i="4"/>
  <c r="M58" i="4"/>
  <c r="N58" i="4" s="1"/>
  <c r="O58" i="4" s="1"/>
  <c r="L58" i="4"/>
  <c r="J58" i="4"/>
  <c r="I58" i="4"/>
  <c r="A58" i="4"/>
  <c r="S57" i="4"/>
  <c r="R57" i="4"/>
  <c r="Q57" i="4"/>
  <c r="P57" i="4"/>
  <c r="N57" i="4"/>
  <c r="O57" i="4" s="1"/>
  <c r="M57" i="4"/>
  <c r="L57" i="4"/>
  <c r="I57" i="4"/>
  <c r="J57" i="4" s="1"/>
  <c r="A57" i="4"/>
  <c r="S56" i="4"/>
  <c r="R56" i="4"/>
  <c r="Q56" i="4"/>
  <c r="P56" i="4"/>
  <c r="M56" i="4"/>
  <c r="L56" i="4"/>
  <c r="N56" i="4" s="1"/>
  <c r="O56" i="4" s="1"/>
  <c r="J56" i="4"/>
  <c r="I56" i="4"/>
  <c r="A56" i="4"/>
  <c r="S55" i="4"/>
  <c r="R55" i="4"/>
  <c r="Q55" i="4"/>
  <c r="P55" i="4"/>
  <c r="M55" i="4"/>
  <c r="L55" i="4"/>
  <c r="N55" i="4" s="1"/>
  <c r="O55" i="4" s="1"/>
  <c r="J55" i="4"/>
  <c r="I55" i="4"/>
  <c r="A55" i="4"/>
  <c r="S54" i="4"/>
  <c r="R54" i="4"/>
  <c r="Q54" i="4"/>
  <c r="P54" i="4"/>
  <c r="O54" i="4"/>
  <c r="N54" i="4"/>
  <c r="M54" i="4"/>
  <c r="L54" i="4"/>
  <c r="J54" i="4"/>
  <c r="I54" i="4"/>
  <c r="A54" i="4"/>
  <c r="S53" i="4"/>
  <c r="R53" i="4"/>
  <c r="Q53" i="4"/>
  <c r="P53" i="4"/>
  <c r="M53" i="4"/>
  <c r="L53" i="4"/>
  <c r="N53" i="4" s="1"/>
  <c r="O53" i="4" s="1"/>
  <c r="I53" i="4"/>
  <c r="J53" i="4" s="1"/>
  <c r="A53" i="4"/>
  <c r="S52" i="4"/>
  <c r="R52" i="4"/>
  <c r="Q52" i="4"/>
  <c r="P52" i="4"/>
  <c r="M52" i="4"/>
  <c r="N52" i="4" s="1"/>
  <c r="O52" i="4" s="1"/>
  <c r="L52" i="4"/>
  <c r="I52" i="4"/>
  <c r="J52" i="4" s="1"/>
  <c r="A52" i="4"/>
  <c r="S51" i="4"/>
  <c r="R51" i="4"/>
  <c r="Q51" i="4"/>
  <c r="P51" i="4"/>
  <c r="M51" i="4"/>
  <c r="L51" i="4"/>
  <c r="N51" i="4" s="1"/>
  <c r="O51" i="4" s="1"/>
  <c r="I51" i="4"/>
  <c r="J51" i="4" s="1"/>
  <c r="A51" i="4"/>
  <c r="S50" i="4"/>
  <c r="R50" i="4"/>
  <c r="Q50" i="4"/>
  <c r="P50" i="4"/>
  <c r="M50" i="4"/>
  <c r="N50" i="4" s="1"/>
  <c r="O50" i="4" s="1"/>
  <c r="L50" i="4"/>
  <c r="J50" i="4"/>
  <c r="I50" i="4"/>
  <c r="A50" i="4"/>
  <c r="S49" i="4"/>
  <c r="R49" i="4"/>
  <c r="Q49" i="4"/>
  <c r="P49" i="4"/>
  <c r="N49" i="4"/>
  <c r="O49" i="4" s="1"/>
  <c r="M49" i="4"/>
  <c r="L49" i="4"/>
  <c r="I49" i="4"/>
  <c r="J49" i="4" s="1"/>
  <c r="A49" i="4"/>
  <c r="S48" i="4"/>
  <c r="R48" i="4"/>
  <c r="Q48" i="4"/>
  <c r="P48" i="4"/>
  <c r="M48" i="4"/>
  <c r="L48" i="4"/>
  <c r="N48" i="4" s="1"/>
  <c r="O48" i="4" s="1"/>
  <c r="J48" i="4"/>
  <c r="I48" i="4"/>
  <c r="A48" i="4"/>
  <c r="S47" i="4"/>
  <c r="R47" i="4"/>
  <c r="Q47" i="4"/>
  <c r="P47" i="4"/>
  <c r="M47" i="4"/>
  <c r="L47" i="4"/>
  <c r="N47" i="4" s="1"/>
  <c r="O47" i="4" s="1"/>
  <c r="J47" i="4"/>
  <c r="I47" i="4"/>
  <c r="A47" i="4"/>
  <c r="S46" i="4"/>
  <c r="R46" i="4"/>
  <c r="Q46" i="4"/>
  <c r="P46" i="4"/>
  <c r="O46" i="4"/>
  <c r="N46" i="4"/>
  <c r="M46" i="4"/>
  <c r="L46" i="4"/>
  <c r="J46" i="4"/>
  <c r="I46" i="4"/>
  <c r="A46" i="4"/>
  <c r="S45" i="4"/>
  <c r="R45" i="4"/>
  <c r="Q45" i="4"/>
  <c r="P45" i="4"/>
  <c r="M45" i="4"/>
  <c r="L45" i="4"/>
  <c r="N45" i="4" s="1"/>
  <c r="O45" i="4" s="1"/>
  <c r="I45" i="4"/>
  <c r="J45" i="4" s="1"/>
  <c r="A45" i="4"/>
  <c r="S44" i="4"/>
  <c r="R44" i="4"/>
  <c r="Q44" i="4"/>
  <c r="P44" i="4"/>
  <c r="M44" i="4"/>
  <c r="N44" i="4" s="1"/>
  <c r="O44" i="4" s="1"/>
  <c r="L44" i="4"/>
  <c r="I44" i="4"/>
  <c r="J44" i="4" s="1"/>
  <c r="A44" i="4"/>
  <c r="S43" i="4"/>
  <c r="R43" i="4"/>
  <c r="Q43" i="4"/>
  <c r="P43" i="4"/>
  <c r="M43" i="4"/>
  <c r="L43" i="4"/>
  <c r="N43" i="4" s="1"/>
  <c r="O43" i="4" s="1"/>
  <c r="I43" i="4"/>
  <c r="J43" i="4" s="1"/>
  <c r="A43" i="4"/>
  <c r="S42" i="4"/>
  <c r="R42" i="4"/>
  <c r="Q42" i="4"/>
  <c r="P42" i="4"/>
  <c r="M42" i="4"/>
  <c r="N42" i="4" s="1"/>
  <c r="O42" i="4" s="1"/>
  <c r="L42" i="4"/>
  <c r="J42" i="4"/>
  <c r="I42" i="4"/>
  <c r="A42" i="4"/>
  <c r="S41" i="4"/>
  <c r="R41" i="4"/>
  <c r="Q41" i="4"/>
  <c r="P41" i="4"/>
  <c r="N41" i="4"/>
  <c r="O41" i="4" s="1"/>
  <c r="M41" i="4"/>
  <c r="L41" i="4"/>
  <c r="I41" i="4"/>
  <c r="J41" i="4" s="1"/>
  <c r="A41" i="4"/>
  <c r="S40" i="4"/>
  <c r="R40" i="4"/>
  <c r="Q40" i="4"/>
  <c r="P40" i="4"/>
  <c r="M40" i="4"/>
  <c r="L40" i="4"/>
  <c r="N40" i="4" s="1"/>
  <c r="O40" i="4" s="1"/>
  <c r="J40" i="4"/>
  <c r="I40" i="4"/>
  <c r="A40" i="4"/>
  <c r="S39" i="4"/>
  <c r="R39" i="4"/>
  <c r="Q39" i="4"/>
  <c r="P39" i="4"/>
  <c r="M39" i="4"/>
  <c r="L39" i="4"/>
  <c r="N39" i="4" s="1"/>
  <c r="O39" i="4" s="1"/>
  <c r="J39" i="4"/>
  <c r="I39" i="4"/>
  <c r="A39" i="4"/>
  <c r="S38" i="4"/>
  <c r="R38" i="4"/>
  <c r="Q38" i="4"/>
  <c r="P38" i="4"/>
  <c r="O38" i="4"/>
  <c r="N38" i="4"/>
  <c r="M38" i="4"/>
  <c r="L38" i="4"/>
  <c r="J38" i="4"/>
  <c r="I38" i="4"/>
  <c r="A38" i="4"/>
  <c r="S37" i="4"/>
  <c r="R37" i="4"/>
  <c r="Q37" i="4"/>
  <c r="P37" i="4"/>
  <c r="M37" i="4"/>
  <c r="L37" i="4"/>
  <c r="N37" i="4" s="1"/>
  <c r="O37" i="4" s="1"/>
  <c r="I37" i="4"/>
  <c r="J37" i="4" s="1"/>
  <c r="A37" i="4"/>
  <c r="S36" i="4"/>
  <c r="R36" i="4"/>
  <c r="Q36" i="4"/>
  <c r="P36" i="4"/>
  <c r="M36" i="4"/>
  <c r="N36" i="4" s="1"/>
  <c r="O36" i="4" s="1"/>
  <c r="L36" i="4"/>
  <c r="I36" i="4"/>
  <c r="J36" i="4" s="1"/>
  <c r="A36" i="4"/>
  <c r="S35" i="4"/>
  <c r="R35" i="4"/>
  <c r="Q35" i="4"/>
  <c r="P35" i="4"/>
  <c r="M35" i="4"/>
  <c r="L35" i="4"/>
  <c r="N35" i="4" s="1"/>
  <c r="O35" i="4" s="1"/>
  <c r="I35" i="4"/>
  <c r="J35" i="4" s="1"/>
  <c r="A35" i="4"/>
  <c r="S34" i="4"/>
  <c r="R34" i="4"/>
  <c r="Q34" i="4"/>
  <c r="P34" i="4"/>
  <c r="M34" i="4"/>
  <c r="N34" i="4" s="1"/>
  <c r="O34" i="4" s="1"/>
  <c r="L34" i="4"/>
  <c r="J34" i="4"/>
  <c r="I34" i="4"/>
  <c r="A34" i="4"/>
  <c r="S33" i="4"/>
  <c r="R33" i="4"/>
  <c r="Q33" i="4"/>
  <c r="P33" i="4"/>
  <c r="N33" i="4"/>
  <c r="O33" i="4" s="1"/>
  <c r="M33" i="4"/>
  <c r="L33" i="4"/>
  <c r="I33" i="4"/>
  <c r="J33" i="4" s="1"/>
  <c r="A33" i="4"/>
  <c r="S32" i="4"/>
  <c r="R32" i="4"/>
  <c r="Q32" i="4"/>
  <c r="P32" i="4"/>
  <c r="M32" i="4"/>
  <c r="L32" i="4"/>
  <c r="N32" i="4" s="1"/>
  <c r="O32" i="4" s="1"/>
  <c r="J32" i="4"/>
  <c r="I32" i="4"/>
  <c r="A32" i="4"/>
  <c r="S31" i="4"/>
  <c r="R31" i="4"/>
  <c r="Q31" i="4"/>
  <c r="P31" i="4"/>
  <c r="M31" i="4"/>
  <c r="L31" i="4"/>
  <c r="N31" i="4" s="1"/>
  <c r="O31" i="4" s="1"/>
  <c r="J31" i="4"/>
  <c r="I31" i="4"/>
  <c r="A31" i="4"/>
  <c r="S30" i="4"/>
  <c r="R30" i="4"/>
  <c r="Q30" i="4"/>
  <c r="P30" i="4"/>
  <c r="O30" i="4"/>
  <c r="N30" i="4"/>
  <c r="M30" i="4"/>
  <c r="L30" i="4"/>
  <c r="J30" i="4"/>
  <c r="I30" i="4"/>
  <c r="A30" i="4"/>
  <c r="S29" i="4"/>
  <c r="R29" i="4"/>
  <c r="Q29" i="4"/>
  <c r="P29" i="4"/>
  <c r="M29" i="4"/>
  <c r="L29" i="4"/>
  <c r="N29" i="4" s="1"/>
  <c r="O29" i="4" s="1"/>
  <c r="I29" i="4"/>
  <c r="J29" i="4" s="1"/>
  <c r="A29" i="4"/>
  <c r="S28" i="4"/>
  <c r="R28" i="4"/>
  <c r="Q28" i="4"/>
  <c r="P28" i="4"/>
  <c r="M28" i="4"/>
  <c r="N28" i="4" s="1"/>
  <c r="O28" i="4" s="1"/>
  <c r="L28" i="4"/>
  <c r="I28" i="4"/>
  <c r="J28" i="4" s="1"/>
  <c r="A28" i="4"/>
  <c r="S27" i="4"/>
  <c r="R27" i="4"/>
  <c r="Q27" i="4"/>
  <c r="P27" i="4"/>
  <c r="M27" i="4"/>
  <c r="L27" i="4"/>
  <c r="N27" i="4" s="1"/>
  <c r="O27" i="4" s="1"/>
  <c r="I27" i="4"/>
  <c r="J27" i="4" s="1"/>
  <c r="A27" i="4"/>
  <c r="S26" i="4"/>
  <c r="R26" i="4"/>
  <c r="Q26" i="4"/>
  <c r="P26" i="4"/>
  <c r="M26" i="4"/>
  <c r="N26" i="4" s="1"/>
  <c r="O26" i="4" s="1"/>
  <c r="L26" i="4"/>
  <c r="J26" i="4"/>
  <c r="I26" i="4"/>
  <c r="A26" i="4"/>
  <c r="S25" i="4"/>
  <c r="R25" i="4"/>
  <c r="Q25" i="4"/>
  <c r="P25" i="4"/>
  <c r="N25" i="4"/>
  <c r="O25" i="4" s="1"/>
  <c r="M25" i="4"/>
  <c r="L25" i="4"/>
  <c r="I25" i="4"/>
  <c r="J25" i="4" s="1"/>
  <c r="A25" i="4"/>
  <c r="S24" i="4"/>
  <c r="R24" i="4"/>
  <c r="Q24" i="4"/>
  <c r="P24" i="4"/>
  <c r="M24" i="4"/>
  <c r="L24" i="4"/>
  <c r="N24" i="4" s="1"/>
  <c r="O24" i="4" s="1"/>
  <c r="J24" i="4"/>
  <c r="I24" i="4"/>
  <c r="A24" i="4"/>
  <c r="S23" i="4"/>
  <c r="R23" i="4"/>
  <c r="Q23" i="4"/>
  <c r="P23" i="4"/>
  <c r="M23" i="4"/>
  <c r="L23" i="4"/>
  <c r="N23" i="4" s="1"/>
  <c r="O23" i="4" s="1"/>
  <c r="J23" i="4"/>
  <c r="I23" i="4"/>
  <c r="A23" i="4"/>
  <c r="S22" i="4"/>
  <c r="R22" i="4"/>
  <c r="Q22" i="4"/>
  <c r="P22" i="4"/>
  <c r="O22" i="4"/>
  <c r="N22" i="4"/>
  <c r="M22" i="4"/>
  <c r="L22" i="4"/>
  <c r="J22" i="4"/>
  <c r="I22" i="4"/>
  <c r="A22" i="4"/>
  <c r="S21" i="4"/>
  <c r="R21" i="4"/>
  <c r="Q21" i="4"/>
  <c r="P21" i="4"/>
  <c r="M21" i="4"/>
  <c r="L21" i="4"/>
  <c r="N21" i="4" s="1"/>
  <c r="O21" i="4" s="1"/>
  <c r="I21" i="4"/>
  <c r="J21" i="4" s="1"/>
  <c r="A21" i="4"/>
  <c r="S20" i="4"/>
  <c r="R20" i="4"/>
  <c r="Q20" i="4"/>
  <c r="P20" i="4"/>
  <c r="M20" i="4"/>
  <c r="N20" i="4" s="1"/>
  <c r="O20" i="4" s="1"/>
  <c r="L20" i="4"/>
  <c r="I20" i="4"/>
  <c r="J20" i="4" s="1"/>
  <c r="A20" i="4"/>
  <c r="S19" i="4"/>
  <c r="R19" i="4"/>
  <c r="Q19" i="4"/>
  <c r="P19" i="4"/>
  <c r="M19" i="4"/>
  <c r="L19" i="4"/>
  <c r="N19" i="4" s="1"/>
  <c r="O19" i="4" s="1"/>
  <c r="I19" i="4"/>
  <c r="J19" i="4" s="1"/>
  <c r="A19" i="4"/>
  <c r="S18" i="4"/>
  <c r="R18" i="4"/>
  <c r="Q18" i="4"/>
  <c r="P18" i="4"/>
  <c r="M18" i="4"/>
  <c r="N18" i="4" s="1"/>
  <c r="O18" i="4" s="1"/>
  <c r="L18" i="4"/>
  <c r="J18" i="4"/>
  <c r="I18" i="4"/>
  <c r="A18" i="4"/>
  <c r="S17" i="4"/>
  <c r="R17" i="4"/>
  <c r="Q17" i="4"/>
  <c r="P17" i="4"/>
  <c r="N17" i="4"/>
  <c r="O17" i="4" s="1"/>
  <c r="M17" i="4"/>
  <c r="L17" i="4"/>
  <c r="I17" i="4"/>
  <c r="J17" i="4" s="1"/>
  <c r="A17" i="4"/>
  <c r="S16" i="4"/>
  <c r="R16" i="4"/>
  <c r="Q16" i="4"/>
  <c r="P16" i="4"/>
  <c r="M16" i="4"/>
  <c r="L16" i="4"/>
  <c r="N16" i="4" s="1"/>
  <c r="O16" i="4" s="1"/>
  <c r="J16" i="4"/>
  <c r="I16" i="4"/>
  <c r="A16" i="4"/>
  <c r="S15" i="4"/>
  <c r="R15" i="4"/>
  <c r="Q15" i="4"/>
  <c r="P15" i="4"/>
  <c r="M15" i="4"/>
  <c r="L15" i="4"/>
  <c r="N15" i="4" s="1"/>
  <c r="O15" i="4" s="1"/>
  <c r="J15" i="4"/>
  <c r="I15" i="4"/>
  <c r="A15" i="4"/>
  <c r="S14" i="4"/>
  <c r="R14" i="4"/>
  <c r="Q14" i="4"/>
  <c r="P14" i="4"/>
  <c r="O14" i="4"/>
  <c r="N14" i="4"/>
  <c r="M14" i="4"/>
  <c r="L14" i="4"/>
  <c r="J14" i="4"/>
  <c r="I14" i="4"/>
  <c r="A14" i="4"/>
  <c r="S13" i="4"/>
  <c r="R13" i="4"/>
  <c r="Q13" i="4"/>
  <c r="P13" i="4"/>
  <c r="M13" i="4"/>
  <c r="L13" i="4"/>
  <c r="N13" i="4" s="1"/>
  <c r="O13" i="4" s="1"/>
  <c r="I13" i="4"/>
  <c r="J13" i="4" s="1"/>
  <c r="A13" i="4"/>
  <c r="S12" i="4"/>
  <c r="R12" i="4"/>
  <c r="Q12" i="4"/>
  <c r="P12" i="4"/>
  <c r="M12" i="4"/>
  <c r="N12" i="4" s="1"/>
  <c r="O12" i="4" s="1"/>
  <c r="L12" i="4"/>
  <c r="I12" i="4"/>
  <c r="J12" i="4" s="1"/>
  <c r="A12" i="4"/>
  <c r="S11" i="4"/>
  <c r="R11" i="4"/>
  <c r="Q11" i="4"/>
  <c r="P11" i="4"/>
  <c r="M11" i="4"/>
  <c r="L11" i="4"/>
  <c r="N11" i="4" s="1"/>
  <c r="O11" i="4" s="1"/>
  <c r="I11" i="4"/>
  <c r="J11" i="4" s="1"/>
  <c r="A11" i="4"/>
  <c r="S10" i="4"/>
  <c r="R10" i="4"/>
  <c r="Q10" i="4"/>
  <c r="P10" i="4"/>
  <c r="M10" i="4"/>
  <c r="N10" i="4" s="1"/>
  <c r="O10" i="4" s="1"/>
  <c r="L10" i="4"/>
  <c r="J10" i="4"/>
  <c r="I10" i="4"/>
  <c r="A10" i="4"/>
  <c r="S9" i="4"/>
  <c r="R9" i="4"/>
  <c r="Q9" i="4"/>
  <c r="P9" i="4"/>
  <c r="N9" i="4"/>
  <c r="O9" i="4" s="1"/>
  <c r="M9" i="4"/>
  <c r="L9" i="4"/>
  <c r="I9" i="4"/>
  <c r="J9" i="4" s="1"/>
  <c r="A9" i="4"/>
  <c r="S8" i="4"/>
  <c r="R8" i="4"/>
  <c r="Q8" i="4"/>
  <c r="P8" i="4"/>
  <c r="M8" i="4"/>
  <c r="L8" i="4"/>
  <c r="N8" i="4" s="1"/>
  <c r="O8" i="4" s="1"/>
  <c r="J8" i="4"/>
  <c r="I8" i="4"/>
  <c r="A8" i="4"/>
  <c r="S7" i="4"/>
  <c r="R7" i="4"/>
  <c r="Q7" i="4"/>
  <c r="P7" i="4"/>
  <c r="M7" i="4"/>
  <c r="L7" i="4"/>
  <c r="N7" i="4" s="1"/>
  <c r="O7" i="4" s="1"/>
  <c r="J7" i="4"/>
  <c r="I7" i="4"/>
  <c r="A7" i="4"/>
  <c r="S6" i="4"/>
  <c r="R6" i="4"/>
  <c r="Q6" i="4"/>
  <c r="P6" i="4"/>
  <c r="O6" i="4"/>
  <c r="N6" i="4"/>
  <c r="M6" i="4"/>
  <c r="L6" i="4"/>
  <c r="J6" i="4"/>
  <c r="I6" i="4"/>
  <c r="A6" i="4"/>
  <c r="S5" i="4"/>
  <c r="R5" i="4"/>
  <c r="Q5" i="4"/>
  <c r="P5" i="4"/>
  <c r="M5" i="4"/>
  <c r="L5" i="4"/>
  <c r="N5" i="4" s="1"/>
  <c r="O5" i="4" s="1"/>
  <c r="C21" i="5" s="1"/>
  <c r="I5" i="4"/>
  <c r="J5" i="4" s="1"/>
  <c r="A5" i="4"/>
  <c r="S4" i="4"/>
  <c r="R4" i="4"/>
  <c r="Q4" i="4"/>
  <c r="P4" i="4"/>
  <c r="M4" i="4"/>
  <c r="L4" i="4"/>
  <c r="N4" i="4" s="1"/>
  <c r="O4" i="4" s="1"/>
  <c r="C17" i="5" s="1"/>
  <c r="J4" i="4"/>
  <c r="I4" i="4"/>
  <c r="A4" i="4"/>
  <c r="S3" i="4"/>
  <c r="R3" i="4"/>
  <c r="Q3" i="4"/>
  <c r="P3" i="4"/>
  <c r="M3" i="4"/>
  <c r="L3" i="4"/>
  <c r="N3" i="4" s="1"/>
  <c r="O3" i="4" s="1"/>
  <c r="C15" i="5" s="1"/>
  <c r="J3" i="4"/>
  <c r="I3" i="4"/>
  <c r="A3" i="4"/>
  <c r="S2" i="4"/>
  <c r="R2" i="4"/>
  <c r="Q2" i="4"/>
  <c r="P2" i="4"/>
  <c r="N2" i="4"/>
  <c r="O2" i="4" s="1"/>
  <c r="M2" i="4"/>
  <c r="L2" i="4"/>
  <c r="F30" i="5" s="1"/>
  <c r="I2" i="4"/>
  <c r="J2" i="4" s="1"/>
  <c r="C4" i="5" s="1"/>
  <c r="A2" i="4"/>
  <c r="C13" i="5" l="1"/>
  <c r="E4" i="5"/>
  <c r="C26" i="5"/>
  <c r="F27" i="5"/>
  <c r="D29" i="5"/>
  <c r="D26" i="5"/>
  <c r="B28" i="5"/>
  <c r="E29" i="5"/>
  <c r="C7" i="5"/>
  <c r="E26" i="5"/>
  <c r="C28" i="5"/>
  <c r="F29" i="5"/>
  <c r="F26" i="5"/>
  <c r="D28" i="5"/>
  <c r="B30" i="5"/>
  <c r="B27" i="5"/>
  <c r="E28" i="5"/>
  <c r="C30" i="5"/>
  <c r="C27" i="5"/>
  <c r="F28" i="5"/>
  <c r="D30" i="5"/>
  <c r="D27" i="5"/>
  <c r="B29" i="5"/>
  <c r="E30" i="5"/>
  <c r="B26" i="5"/>
  <c r="E27" i="5"/>
  <c r="C2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G2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Blue font = input cell. Use a 1-5 scale.</t>
        </r>
      </text>
    </comment>
    <comment ref="K2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Control strength is an input. Higher values reduce residual risk.</t>
        </r>
      </text>
    </comment>
    <comment ref="P2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Auto-populated from Control_Library based on the Domain selection.</t>
        </r>
      </text>
    </comment>
  </commentList>
</comments>
</file>

<file path=xl/sharedStrings.xml><?xml version="1.0" encoding="utf-8"?>
<sst xmlns="http://schemas.openxmlformats.org/spreadsheetml/2006/main" count="191" uniqueCount="147">
  <si>
    <t>UK GRC Risk Register + Compliance Mapping Tool</t>
  </si>
  <si>
    <t>How to use</t>
  </si>
  <si>
    <t>• Use the Risk_Register sheet to record risks and enter only the blue input cells.</t>
  </si>
  <si>
    <t>• Likelihood, impact, and control strength drive the inherent and residual score formulas.</t>
  </si>
  <si>
    <t>• Choose a Domain from the dropdown to auto-fill ISO 27001 and UK GDPR / DPA mappings.</t>
  </si>
  <si>
    <t>• Use Dashboard for a management-style snapshot of current risk posture and overdue items.</t>
  </si>
  <si>
    <t>• Commit the workbook and README to GitHub as a portfolio project.</t>
  </si>
  <si>
    <t>Scoring logic</t>
  </si>
  <si>
    <t>Metric</t>
  </si>
  <si>
    <t>Scale / Formula</t>
  </si>
  <si>
    <t>Meaning</t>
  </si>
  <si>
    <t>Likelihood</t>
  </si>
  <si>
    <t>1-5</t>
  </si>
  <si>
    <t>1 = rare, 5 = almost certain</t>
  </si>
  <si>
    <t>Impact</t>
  </si>
  <si>
    <t>1 = low, 5 = severe</t>
  </si>
  <si>
    <t>Inherent score</t>
  </si>
  <si>
    <t>Likelihood × Impact</t>
  </si>
  <si>
    <t>Score before control strength is considered</t>
  </si>
  <si>
    <t>Control strength</t>
  </si>
  <si>
    <t>1 = weak controls, 5 = strong controls</t>
  </si>
  <si>
    <t>Residual score</t>
  </si>
  <si>
    <t>Residual Likelihood × Residual Impact</t>
  </si>
  <si>
    <t>Score after control effect</t>
  </si>
  <si>
    <t>Domains</t>
  </si>
  <si>
    <t>Status</t>
  </si>
  <si>
    <t>Owners</t>
  </si>
  <si>
    <t>Access Control</t>
  </si>
  <si>
    <t>Open</t>
  </si>
  <si>
    <t>Security Team</t>
  </si>
  <si>
    <t>Data Protection / DLP</t>
  </si>
  <si>
    <t>In Progress</t>
  </si>
  <si>
    <t>IT Operations</t>
  </si>
  <si>
    <t>Asset Inventory</t>
  </si>
  <si>
    <t>Mitigated</t>
  </si>
  <si>
    <t>Compliance</t>
  </si>
  <si>
    <t>Third-Party Risk</t>
  </si>
  <si>
    <t>Accepted</t>
  </si>
  <si>
    <t>Engineering</t>
  </si>
  <si>
    <t>Vulnerability Management</t>
  </si>
  <si>
    <t>Closed</t>
  </si>
  <si>
    <t>Data Protection Lead</t>
  </si>
  <si>
    <t>Logging &amp; Monitoring</t>
  </si>
  <si>
    <t>Third-Party Manager</t>
  </si>
  <si>
    <t>Incident Response</t>
  </si>
  <si>
    <t>Backup &amp; Recovery</t>
  </si>
  <si>
    <t>Network Segmentation</t>
  </si>
  <si>
    <t>OT / ICS Security</t>
  </si>
  <si>
    <t>Domain</t>
  </si>
  <si>
    <t>ISO 27001:2022 Control Mapping</t>
  </si>
  <si>
    <t>UK GDPR / DPA 2018 Mapping</t>
  </si>
  <si>
    <t>Typical Gap / Finding</t>
  </si>
  <si>
    <t>Example Recommendation</t>
  </si>
  <si>
    <t>5.15 Access control; 8.2 Privileged access rights; 8.3 Information access restriction</t>
  </si>
  <si>
    <t>Integrity &amp; confidentiality principle; Art. 32 security of processing</t>
  </si>
  <si>
    <t>User access reviews are ad hoc or undocumented</t>
  </si>
  <si>
    <t>Implement quarterly access reviews, role-based access, and privileged account monitoring</t>
  </si>
  <si>
    <t>5.12 Classification of information; 5.14 Information transfer; 8.12 Data leakage prevention</t>
  </si>
  <si>
    <t>Lawfulness/fairness/transparency; storage limitation; Art. 32 security of processing</t>
  </si>
  <si>
    <t>No formal DLP rules for email and cloud data movement</t>
  </si>
  <si>
    <t>Deploy DLP policies, encryption, and approved transfer channels for personal data</t>
  </si>
  <si>
    <t>5.9 Inventory of information and other associated assets</t>
  </si>
  <si>
    <t>Accountability principle</t>
  </si>
  <si>
    <t>Incomplete inventory of information assets and owners</t>
  </si>
  <si>
    <t>Create and maintain an asset inventory with business owner, classification, and review cadence</t>
  </si>
  <si>
    <t>5.19 Information security in supplier relationships; 5.20 Addressing supplier agreements</t>
  </si>
  <si>
    <t>Processor due diligence; Art. 28 processor obligations</t>
  </si>
  <si>
    <t>Supplier security clauses and due diligence are inconsistent</t>
  </si>
  <si>
    <t>Introduce vendor risk assessments and standard contractual security requirements</t>
  </si>
  <si>
    <t>8.8 Management of technical vulnerabilities</t>
  </si>
  <si>
    <t>Art. 32 security of processing</t>
  </si>
  <si>
    <t>Scanning, remediation SLAs, or exception tracking are not formalised</t>
  </si>
  <si>
    <t>Define vulnerability management SLAs, track remediation, and escalate overdue critical findings</t>
  </si>
  <si>
    <t>8.15 Logging; 8.16 Monitoring activities</t>
  </si>
  <si>
    <t>Accountability and security of processing</t>
  </si>
  <si>
    <t>Security logs are not centrally retained or regularly reviewed</t>
  </si>
  <si>
    <t>Enable central logging, alert tuning, and evidence retention aligned to policy</t>
  </si>
  <si>
    <t>5.24 Incident management planning; 5.25 Assessment and decision on events</t>
  </si>
  <si>
    <t>Art. 33/34 breach notification and communication</t>
  </si>
  <si>
    <t>Incident process exists but testing and breach escalation criteria are weak</t>
  </si>
  <si>
    <t>Run tabletop exercises and define breach assessment and notification workflows</t>
  </si>
  <si>
    <t>8.13 Information backup</t>
  </si>
  <si>
    <t>Availability and resilience under Art. 32</t>
  </si>
  <si>
    <t>Backup testing and restore evidence are incomplete</t>
  </si>
  <si>
    <t>Schedule restore testing, retention reviews, and evidence capture for critical systems</t>
  </si>
  <si>
    <t>8.20 Network security</t>
  </si>
  <si>
    <t>Art. 32 appropriate technical measures</t>
  </si>
  <si>
    <t>Flat networks increase lateral movement risk</t>
  </si>
  <si>
    <t>Segment critical systems, restrict east-west traffic, and document firewall rule reviews</t>
  </si>
  <si>
    <t>8.20 Network security; 8.9 Configuration management; 8.19 Installation of software on operational systems</t>
  </si>
  <si>
    <t>Security of processing / safety-aligned technical measures</t>
  </si>
  <si>
    <t>Industrial devices lack hardening standards and segmentation review</t>
  </si>
  <si>
    <t>Define OT baseline hardening, secure remote access, and segmented architecture reviews</t>
  </si>
  <si>
    <t>Risk ID</t>
  </si>
  <si>
    <t>Asset / Process</t>
  </si>
  <si>
    <t>Risk Statement</t>
  </si>
  <si>
    <t>Threat Source</t>
  </si>
  <si>
    <t>Existing Control Status</t>
  </si>
  <si>
    <t>Likelihood (1-5)</t>
  </si>
  <si>
    <t>Impact (1-5)</t>
  </si>
  <si>
    <t>Inherent Score</t>
  </si>
  <si>
    <t>Inherent Rating</t>
  </si>
  <si>
    <t>Control Strength (1-5)</t>
  </si>
  <si>
    <t>Residual Likelihood</t>
  </si>
  <si>
    <t>Residual Impact</t>
  </si>
  <si>
    <t>Residual Score</t>
  </si>
  <si>
    <t>Residual Rating</t>
  </si>
  <si>
    <t>ISO 27001 Mapping</t>
  </si>
  <si>
    <t>UK GDPR / DPA Mapping</t>
  </si>
  <si>
    <t>Recommendation</t>
  </si>
  <si>
    <t>Owner</t>
  </si>
  <si>
    <t>Target Date</t>
  </si>
  <si>
    <t>Evidence / Notes</t>
  </si>
  <si>
    <t>Microsoft 365 email and OneDrive</t>
  </si>
  <si>
    <t>Sensitive personal data could be shared externally without approval</t>
  </si>
  <si>
    <t>Human error / misconfiguration</t>
  </si>
  <si>
    <t>Basic email controls in place</t>
  </si>
  <si>
    <t>Sample scenario aligned to Purview / DLP experience</t>
  </si>
  <si>
    <t>Critical SaaS supplier onboarding</t>
  </si>
  <si>
    <t>A supplier may process data without adequate contractual or security controls</t>
  </si>
  <si>
    <t>Supplier onboarding gaps</t>
  </si>
  <si>
    <t>Security review checklist used inconsistently</t>
  </si>
  <si>
    <t>Use to discuss vendor risk management</t>
  </si>
  <si>
    <t>Endpoint and cloud audit logs</t>
  </si>
  <si>
    <t>Insufficient monitoring could delay detection of suspicious activity</t>
  </si>
  <si>
    <t>Threat actor / insider misuse</t>
  </si>
  <si>
    <t>CrowdStrike and M365 logs available but not fully centralised</t>
  </si>
  <si>
    <t>Maps to SOC + governance blend</t>
  </si>
  <si>
    <t>Shipboard engineering support network</t>
  </si>
  <si>
    <t>Weak segmentation or hardening in OT environments could impact operations</t>
  </si>
  <si>
    <t>Flat network / insecure remote access</t>
  </si>
  <si>
    <t>Site-specific practices vary</t>
  </si>
  <si>
    <t>Good talking point for IT/OT consulting roles</t>
  </si>
  <si>
    <t>GRC Dashboard</t>
  </si>
  <si>
    <t>Total risks</t>
  </si>
  <si>
    <t>High inherent</t>
  </si>
  <si>
    <t>High residual</t>
  </si>
  <si>
    <t>Open / in progress</t>
  </si>
  <si>
    <t>Average residual score</t>
  </si>
  <si>
    <t>Overdue actions</t>
  </si>
  <si>
    <t>Residual risk by domain</t>
  </si>
  <si>
    <t>Status summary</t>
  </si>
  <si>
    <t>Total Risks</t>
  </si>
  <si>
    <t>High Residual</t>
  </si>
  <si>
    <t>Open Risks</t>
  </si>
  <si>
    <t>Count</t>
  </si>
  <si>
    <t>Likelihood / Impact heatmap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</si>
</sst>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FF"/>
      <name val="Calibri"/>
    </font>
    <font>
      <b/>
      <sz val="11"/>
      <color rgb="FF008080"/>
      <name val="Calibri"/>
    </font>
    <font>
      <b/>
      <sz val="14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EAF2FF"/>
      </patternFill>
    </fill>
    <fill>
      <patternFill patternType="solid">
        <fgColor rgb="FFD9EDEB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/>
    <xf numFmtId="0" fontId="3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164" fontId="5" fillId="5" borderId="1" xfId="0" applyNumberFormat="1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wrapText="1"/>
    </xf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7" fillId="0" borderId="2" xfId="0" applyFont="1" applyBorder="1" applyAlignment="1">
      <alignment horizontal="center" vertical="center"/>
    </xf>
    <xf numFmtId="0" fontId="0" fillId="0" borderId="2" xfId="0" applyBorder="1"/>
    <xf numFmtId="0" fontId="6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35630b90009e468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2438400</xdr:colOff>
      <xdr:row>24</xdr:row>
      <xdr:rowOff>25400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1AC078A2-762E-2CB8-3D37-E2F35B16D4F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8E55B7DA-A8CA-857B-E35D-F86F49BB176C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C10" sqref="C10"/>
    </sheetView>
  </sheetViews>
  <sheetFormatPr defaultRowHeight="14.5" x14ac:dyDescent="0.35"/>
  <cols>
    <col min="1" max="1" width="26" customWidth="1"/>
    <col min="2" max="2" width="18" customWidth="1"/>
    <col min="3" max="3" width="38" customWidth="1"/>
    <col min="4" max="4" width="4" customWidth="1"/>
    <col min="5" max="5" width="24" customWidth="1"/>
    <col min="6" max="7" width="20" customWidth="1"/>
    <col min="8" max="8" width="18" customWidth="1"/>
  </cols>
  <sheetData>
    <row r="1" spans="1:8" ht="21" x14ac:dyDescent="0.5">
      <c r="A1" s="18" t="s">
        <v>0</v>
      </c>
      <c r="B1" s="16"/>
      <c r="C1" s="16"/>
      <c r="D1" s="16"/>
      <c r="E1" s="16"/>
      <c r="F1" s="16"/>
      <c r="G1" s="16"/>
      <c r="H1" s="16"/>
    </row>
    <row r="3" spans="1:8" x14ac:dyDescent="0.35">
      <c r="A3" s="17" t="s">
        <v>1</v>
      </c>
      <c r="B3" s="16"/>
      <c r="C3" s="16"/>
      <c r="D3" s="16"/>
    </row>
    <row r="4" spans="1:8" x14ac:dyDescent="0.35">
      <c r="A4" s="15" t="s">
        <v>2</v>
      </c>
      <c r="B4" s="16"/>
      <c r="C4" s="16"/>
      <c r="D4" s="16"/>
    </row>
    <row r="5" spans="1:8" x14ac:dyDescent="0.35">
      <c r="A5" s="15" t="s">
        <v>3</v>
      </c>
      <c r="B5" s="16"/>
      <c r="C5" s="16"/>
      <c r="D5" s="16"/>
    </row>
    <row r="6" spans="1:8" x14ac:dyDescent="0.35">
      <c r="A6" s="15" t="s">
        <v>4</v>
      </c>
      <c r="B6" s="16"/>
      <c r="C6" s="16"/>
      <c r="D6" s="16"/>
    </row>
    <row r="7" spans="1:8" x14ac:dyDescent="0.35">
      <c r="A7" s="15" t="s">
        <v>5</v>
      </c>
      <c r="B7" s="16"/>
      <c r="C7" s="16"/>
      <c r="D7" s="16"/>
    </row>
    <row r="8" spans="1:8" x14ac:dyDescent="0.35">
      <c r="A8" s="15" t="s">
        <v>6</v>
      </c>
      <c r="B8" s="16"/>
      <c r="C8" s="16"/>
      <c r="D8" s="16"/>
    </row>
    <row r="11" spans="1:8" x14ac:dyDescent="0.35">
      <c r="A11" s="17" t="s">
        <v>7</v>
      </c>
      <c r="B11" s="16"/>
      <c r="C11" s="16"/>
    </row>
    <row r="12" spans="1:8" x14ac:dyDescent="0.35">
      <c r="A12" s="2" t="s">
        <v>8</v>
      </c>
      <c r="B12" s="2" t="s">
        <v>9</v>
      </c>
      <c r="C12" s="2" t="s">
        <v>10</v>
      </c>
    </row>
    <row r="13" spans="1:8" x14ac:dyDescent="0.35">
      <c r="A13" t="s">
        <v>11</v>
      </c>
      <c r="B13" t="s">
        <v>12</v>
      </c>
      <c r="C13" t="s">
        <v>13</v>
      </c>
    </row>
    <row r="14" spans="1:8" x14ac:dyDescent="0.35">
      <c r="A14" t="s">
        <v>14</v>
      </c>
      <c r="B14" t="s">
        <v>12</v>
      </c>
      <c r="C14" t="s">
        <v>15</v>
      </c>
    </row>
    <row r="15" spans="1:8" x14ac:dyDescent="0.35">
      <c r="A15" t="s">
        <v>16</v>
      </c>
      <c r="B15" t="s">
        <v>17</v>
      </c>
      <c r="C15" t="s">
        <v>18</v>
      </c>
    </row>
    <row r="16" spans="1:8" x14ac:dyDescent="0.35">
      <c r="A16" t="s">
        <v>19</v>
      </c>
      <c r="B16" t="s">
        <v>12</v>
      </c>
      <c r="C16" t="s">
        <v>20</v>
      </c>
    </row>
    <row r="17" spans="1:3" x14ac:dyDescent="0.35">
      <c r="A17" t="s">
        <v>21</v>
      </c>
      <c r="B17" t="s">
        <v>22</v>
      </c>
      <c r="C17" t="s">
        <v>23</v>
      </c>
    </row>
  </sheetData>
  <mergeCells count="8">
    <mergeCell ref="A1:H1"/>
    <mergeCell ref="A5:D5"/>
    <mergeCell ref="A8:D8"/>
    <mergeCell ref="A11:C11"/>
    <mergeCell ref="A6:D6"/>
    <mergeCell ref="A4:D4"/>
    <mergeCell ref="A3:D3"/>
    <mergeCell ref="A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4.5" x14ac:dyDescent="0.35"/>
  <cols>
    <col min="1" max="1" width="24" customWidth="1"/>
    <col min="3" max="3" width="16" customWidth="1"/>
    <col min="5" max="5" width="24" customWidth="1"/>
  </cols>
  <sheetData>
    <row r="1" spans="1:5" x14ac:dyDescent="0.35">
      <c r="A1" t="s">
        <v>24</v>
      </c>
      <c r="C1" t="s">
        <v>25</v>
      </c>
      <c r="E1" t="s">
        <v>26</v>
      </c>
    </row>
    <row r="2" spans="1:5" x14ac:dyDescent="0.35">
      <c r="A2" t="s">
        <v>27</v>
      </c>
      <c r="C2" t="s">
        <v>28</v>
      </c>
      <c r="E2" t="s">
        <v>29</v>
      </c>
    </row>
    <row r="3" spans="1:5" x14ac:dyDescent="0.35">
      <c r="A3" t="s">
        <v>30</v>
      </c>
      <c r="C3" t="s">
        <v>31</v>
      </c>
      <c r="E3" t="s">
        <v>32</v>
      </c>
    </row>
    <row r="4" spans="1:5" x14ac:dyDescent="0.35">
      <c r="A4" t="s">
        <v>33</v>
      </c>
      <c r="C4" t="s">
        <v>34</v>
      </c>
      <c r="E4" t="s">
        <v>35</v>
      </c>
    </row>
    <row r="5" spans="1:5" x14ac:dyDescent="0.35">
      <c r="A5" t="s">
        <v>36</v>
      </c>
      <c r="C5" t="s">
        <v>37</v>
      </c>
      <c r="E5" t="s">
        <v>38</v>
      </c>
    </row>
    <row r="6" spans="1:5" x14ac:dyDescent="0.35">
      <c r="A6" t="s">
        <v>39</v>
      </c>
      <c r="C6" t="s">
        <v>40</v>
      </c>
      <c r="E6" t="s">
        <v>41</v>
      </c>
    </row>
    <row r="7" spans="1:5" x14ac:dyDescent="0.35">
      <c r="A7" t="s">
        <v>42</v>
      </c>
      <c r="E7" t="s">
        <v>43</v>
      </c>
    </row>
    <row r="8" spans="1:5" x14ac:dyDescent="0.35">
      <c r="A8" t="s">
        <v>44</v>
      </c>
    </row>
    <row r="9" spans="1:5" x14ac:dyDescent="0.35">
      <c r="A9" t="s">
        <v>45</v>
      </c>
    </row>
    <row r="10" spans="1:5" x14ac:dyDescent="0.35">
      <c r="A10" t="s">
        <v>46</v>
      </c>
    </row>
    <row r="11" spans="1:5" x14ac:dyDescent="0.35">
      <c r="A11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/>
  </sheetViews>
  <sheetFormatPr defaultRowHeight="14.5" x14ac:dyDescent="0.35"/>
  <cols>
    <col min="1" max="1" width="24" customWidth="1"/>
    <col min="2" max="2" width="44" customWidth="1"/>
    <col min="3" max="3" width="32" customWidth="1"/>
    <col min="4" max="4" width="38" customWidth="1"/>
    <col min="5" max="5" width="42" customWidth="1"/>
  </cols>
  <sheetData>
    <row r="1" spans="1:5" x14ac:dyDescent="0.35">
      <c r="A1" s="3" t="s">
        <v>48</v>
      </c>
      <c r="B1" s="3" t="s">
        <v>49</v>
      </c>
      <c r="C1" s="3" t="s">
        <v>50</v>
      </c>
      <c r="D1" s="3" t="s">
        <v>51</v>
      </c>
      <c r="E1" s="3" t="s">
        <v>52</v>
      </c>
    </row>
    <row r="2" spans="1:5" ht="29" x14ac:dyDescent="0.35">
      <c r="A2" s="4" t="s">
        <v>27</v>
      </c>
      <c r="B2" s="4" t="s">
        <v>53</v>
      </c>
      <c r="C2" s="4" t="s">
        <v>54</v>
      </c>
      <c r="D2" s="4" t="s">
        <v>55</v>
      </c>
      <c r="E2" s="4" t="s">
        <v>56</v>
      </c>
    </row>
    <row r="3" spans="1:5" ht="43.5" x14ac:dyDescent="0.35">
      <c r="A3" s="4" t="s">
        <v>30</v>
      </c>
      <c r="B3" s="4" t="s">
        <v>57</v>
      </c>
      <c r="C3" s="4" t="s">
        <v>58</v>
      </c>
      <c r="D3" s="4" t="s">
        <v>59</v>
      </c>
      <c r="E3" s="4" t="s">
        <v>60</v>
      </c>
    </row>
    <row r="4" spans="1:5" ht="43.5" x14ac:dyDescent="0.35">
      <c r="A4" s="4" t="s">
        <v>33</v>
      </c>
      <c r="B4" s="4" t="s">
        <v>61</v>
      </c>
      <c r="C4" s="4" t="s">
        <v>62</v>
      </c>
      <c r="D4" s="4" t="s">
        <v>63</v>
      </c>
      <c r="E4" s="4" t="s">
        <v>64</v>
      </c>
    </row>
    <row r="5" spans="1:5" ht="29" x14ac:dyDescent="0.35">
      <c r="A5" s="4" t="s">
        <v>36</v>
      </c>
      <c r="B5" s="4" t="s">
        <v>65</v>
      </c>
      <c r="C5" s="4" t="s">
        <v>66</v>
      </c>
      <c r="D5" s="4" t="s">
        <v>67</v>
      </c>
      <c r="E5" s="4" t="s">
        <v>68</v>
      </c>
    </row>
    <row r="6" spans="1:5" ht="43.5" x14ac:dyDescent="0.35">
      <c r="A6" s="4" t="s">
        <v>39</v>
      </c>
      <c r="B6" s="4" t="s">
        <v>69</v>
      </c>
      <c r="C6" s="4" t="s">
        <v>70</v>
      </c>
      <c r="D6" s="4" t="s">
        <v>71</v>
      </c>
      <c r="E6" s="4" t="s">
        <v>72</v>
      </c>
    </row>
    <row r="7" spans="1:5" ht="29" x14ac:dyDescent="0.35">
      <c r="A7" s="4" t="s">
        <v>42</v>
      </c>
      <c r="B7" s="4" t="s">
        <v>73</v>
      </c>
      <c r="C7" s="4" t="s">
        <v>74</v>
      </c>
      <c r="D7" s="4" t="s">
        <v>75</v>
      </c>
      <c r="E7" s="4" t="s">
        <v>76</v>
      </c>
    </row>
    <row r="8" spans="1:5" ht="29" x14ac:dyDescent="0.35">
      <c r="A8" s="4" t="s">
        <v>44</v>
      </c>
      <c r="B8" s="4" t="s">
        <v>77</v>
      </c>
      <c r="C8" s="4" t="s">
        <v>78</v>
      </c>
      <c r="D8" s="4" t="s">
        <v>79</v>
      </c>
      <c r="E8" s="4" t="s">
        <v>80</v>
      </c>
    </row>
    <row r="9" spans="1:5" ht="29" x14ac:dyDescent="0.35">
      <c r="A9" s="4" t="s">
        <v>45</v>
      </c>
      <c r="B9" s="4" t="s">
        <v>81</v>
      </c>
      <c r="C9" s="4" t="s">
        <v>82</v>
      </c>
      <c r="D9" s="4" t="s">
        <v>83</v>
      </c>
      <c r="E9" s="4" t="s">
        <v>84</v>
      </c>
    </row>
    <row r="10" spans="1:5" ht="29" x14ac:dyDescent="0.35">
      <c r="A10" s="4" t="s">
        <v>46</v>
      </c>
      <c r="B10" s="4" t="s">
        <v>85</v>
      </c>
      <c r="C10" s="4" t="s">
        <v>86</v>
      </c>
      <c r="D10" s="4" t="s">
        <v>87</v>
      </c>
      <c r="E10" s="4" t="s">
        <v>88</v>
      </c>
    </row>
    <row r="11" spans="1:5" ht="43.5" x14ac:dyDescent="0.35">
      <c r="A11" s="4" t="s">
        <v>47</v>
      </c>
      <c r="B11" s="4" t="s">
        <v>89</v>
      </c>
      <c r="C11" s="4" t="s">
        <v>90</v>
      </c>
      <c r="D11" s="4" t="s">
        <v>91</v>
      </c>
      <c r="E11" s="4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61"/>
  <sheetViews>
    <sheetView showGridLines="0" workbookViewId="0"/>
  </sheetViews>
  <sheetFormatPr defaultRowHeight="14.5" x14ac:dyDescent="0.35"/>
  <cols>
    <col min="1" max="1" width="10" customWidth="1"/>
    <col min="2" max="2" width="24" customWidth="1"/>
    <col min="3" max="3" width="22" customWidth="1"/>
    <col min="4" max="4" width="36" customWidth="1"/>
    <col min="5" max="5" width="20" customWidth="1"/>
    <col min="6" max="6" width="24" customWidth="1"/>
    <col min="7" max="7" width="12" customWidth="1"/>
    <col min="8" max="8" width="10" customWidth="1"/>
    <col min="9" max="10" width="12" customWidth="1"/>
    <col min="11" max="11" width="16" customWidth="1"/>
    <col min="12" max="12" width="15" customWidth="1"/>
    <col min="13" max="13" width="14" customWidth="1"/>
    <col min="14" max="15" width="12" customWidth="1"/>
    <col min="16" max="16" width="32" customWidth="1"/>
    <col min="17" max="17" width="28" customWidth="1"/>
    <col min="18" max="18" width="30" customWidth="1"/>
    <col min="19" max="19" width="34" customWidth="1"/>
    <col min="20" max="20" width="20" customWidth="1"/>
    <col min="21" max="22" width="14" customWidth="1"/>
    <col min="23" max="23" width="28" customWidth="1"/>
  </cols>
  <sheetData>
    <row r="1" spans="1:23" ht="34" customHeight="1" x14ac:dyDescent="0.35">
      <c r="A1" s="5" t="s">
        <v>93</v>
      </c>
      <c r="B1" s="5" t="s">
        <v>48</v>
      </c>
      <c r="C1" s="5" t="s">
        <v>94</v>
      </c>
      <c r="D1" s="5" t="s">
        <v>95</v>
      </c>
      <c r="E1" s="5" t="s">
        <v>96</v>
      </c>
      <c r="F1" s="5" t="s">
        <v>97</v>
      </c>
      <c r="G1" s="5" t="s">
        <v>98</v>
      </c>
      <c r="H1" s="5" t="s">
        <v>99</v>
      </c>
      <c r="I1" s="5" t="s">
        <v>100</v>
      </c>
      <c r="J1" s="5" t="s">
        <v>101</v>
      </c>
      <c r="K1" s="5" t="s">
        <v>102</v>
      </c>
      <c r="L1" s="5" t="s">
        <v>103</v>
      </c>
      <c r="M1" s="5" t="s">
        <v>104</v>
      </c>
      <c r="N1" s="5" t="s">
        <v>105</v>
      </c>
      <c r="O1" s="5" t="s">
        <v>106</v>
      </c>
      <c r="P1" s="5" t="s">
        <v>107</v>
      </c>
      <c r="Q1" s="5" t="s">
        <v>108</v>
      </c>
      <c r="R1" s="5" t="s">
        <v>51</v>
      </c>
      <c r="S1" s="5" t="s">
        <v>109</v>
      </c>
      <c r="T1" s="5" t="s">
        <v>110</v>
      </c>
      <c r="U1" s="5" t="s">
        <v>111</v>
      </c>
      <c r="V1" s="5" t="s">
        <v>25</v>
      </c>
      <c r="W1" s="5" t="s">
        <v>112</v>
      </c>
    </row>
    <row r="2" spans="1:23" ht="43.5" x14ac:dyDescent="0.35">
      <c r="A2" s="6" t="str">
        <f t="shared" ref="A2:A33" si="0">IF(B2="","","R-"&amp;TEXT(ROW()-1,"000"))</f>
        <v>R-001</v>
      </c>
      <c r="B2" s="7" t="s">
        <v>30</v>
      </c>
      <c r="C2" s="7" t="s">
        <v>113</v>
      </c>
      <c r="D2" s="7" t="s">
        <v>114</v>
      </c>
      <c r="E2" s="7" t="s">
        <v>115</v>
      </c>
      <c r="F2" s="7" t="s">
        <v>116</v>
      </c>
      <c r="G2" s="7">
        <v>4</v>
      </c>
      <c r="H2" s="7">
        <v>5</v>
      </c>
      <c r="I2" s="6">
        <f t="shared" ref="I2:I33" si="1">IF(OR(G2="",H2=""),"",G2*H2)</f>
        <v>20</v>
      </c>
      <c r="J2" s="6" t="str">
        <f t="shared" ref="J2:J33" si="2">IF(I2="","",IF(I2&gt;=15,"High",IF(I2&gt;=8,"Medium","Low")))</f>
        <v>High</v>
      </c>
      <c r="K2" s="7">
        <v>3</v>
      </c>
      <c r="L2" s="6">
        <f t="shared" ref="L2:L33" si="3">IF(OR(G2="",K2=""),"",MAX(1,G2-ROUND(K2/2,0)))</f>
        <v>2</v>
      </c>
      <c r="M2" s="6">
        <f t="shared" ref="M2:M33" si="4">IF(OR(H2="",K2=""),"",MAX(1,H2-ROUND(K2/3,0)))</f>
        <v>4</v>
      </c>
      <c r="N2" s="6">
        <f t="shared" ref="N2:N33" si="5">IF(OR(L2="",M2=""),"",L2*M2)</f>
        <v>8</v>
      </c>
      <c r="O2" s="6" t="str">
        <f t="shared" ref="O2:O33" si="6">IF(N2="","",IF(N2&gt;=15,"High",IF(N2&gt;=8,"Medium","Low")))</f>
        <v>Medium</v>
      </c>
      <c r="P2" s="6" t="str">
        <f>IFERROR(VLOOKUP(B2,Control_Library!$A$2:$E$11,2,FALSE),"")</f>
        <v>5.12 Classification of information; 5.14 Information transfer; 8.12 Data leakage prevention</v>
      </c>
      <c r="Q2" s="6" t="str">
        <f>IFERROR(VLOOKUP(B2,Control_Library!$A$2:$E$11,3,FALSE),"")</f>
        <v>Lawfulness/fairness/transparency; storage limitation; Art. 32 security of processing</v>
      </c>
      <c r="R2" s="6" t="str">
        <f>IFERROR(VLOOKUP(B2,Control_Library!$A$2:$E$11,4,FALSE),"")</f>
        <v>No formal DLP rules for email and cloud data movement</v>
      </c>
      <c r="S2" s="6" t="str">
        <f>IFERROR(VLOOKUP(B2,Control_Library!$A$2:$E$11,5,FALSE),"")</f>
        <v>Deploy DLP policies, encryption, and approved transfer channels for personal data</v>
      </c>
      <c r="T2" s="7" t="s">
        <v>41</v>
      </c>
      <c r="U2" s="8">
        <v>46139.843986449632</v>
      </c>
      <c r="V2" s="7" t="s">
        <v>28</v>
      </c>
      <c r="W2" s="7" t="s">
        <v>117</v>
      </c>
    </row>
    <row r="3" spans="1:23" ht="43.5" x14ac:dyDescent="0.35">
      <c r="A3" s="6" t="str">
        <f t="shared" si="0"/>
        <v>R-002</v>
      </c>
      <c r="B3" s="7" t="s">
        <v>36</v>
      </c>
      <c r="C3" s="7" t="s">
        <v>118</v>
      </c>
      <c r="D3" s="7" t="s">
        <v>119</v>
      </c>
      <c r="E3" s="7" t="s">
        <v>120</v>
      </c>
      <c r="F3" s="7" t="s">
        <v>121</v>
      </c>
      <c r="G3" s="7">
        <v>3</v>
      </c>
      <c r="H3" s="7">
        <v>4</v>
      </c>
      <c r="I3" s="6">
        <f t="shared" si="1"/>
        <v>12</v>
      </c>
      <c r="J3" s="6" t="str">
        <f t="shared" si="2"/>
        <v>Medium</v>
      </c>
      <c r="K3" s="7">
        <v>2</v>
      </c>
      <c r="L3" s="6">
        <f t="shared" si="3"/>
        <v>2</v>
      </c>
      <c r="M3" s="6">
        <f t="shared" si="4"/>
        <v>3</v>
      </c>
      <c r="N3" s="6">
        <f t="shared" si="5"/>
        <v>6</v>
      </c>
      <c r="O3" s="6" t="str">
        <f t="shared" si="6"/>
        <v>Low</v>
      </c>
      <c r="P3" s="6" t="str">
        <f>IFERROR(VLOOKUP(B3,Control_Library!$A$2:$E$11,2,FALSE),"")</f>
        <v>5.19 Information security in supplier relationships; 5.20 Addressing supplier agreements</v>
      </c>
      <c r="Q3" s="6" t="str">
        <f>IFERROR(VLOOKUP(B3,Control_Library!$A$2:$E$11,3,FALSE),"")</f>
        <v>Processor due diligence; Art. 28 processor obligations</v>
      </c>
      <c r="R3" s="6" t="str">
        <f>IFERROR(VLOOKUP(B3,Control_Library!$A$2:$E$11,4,FALSE),"")</f>
        <v>Supplier security clauses and due diligence are inconsistent</v>
      </c>
      <c r="S3" s="6" t="str">
        <f>IFERROR(VLOOKUP(B3,Control_Library!$A$2:$E$11,5,FALSE),"")</f>
        <v>Introduce vendor risk assessments and standard contractual security requirements</v>
      </c>
      <c r="T3" s="7" t="s">
        <v>43</v>
      </c>
      <c r="U3" s="8">
        <v>46154.843986449792</v>
      </c>
      <c r="V3" s="7" t="s">
        <v>31</v>
      </c>
      <c r="W3" s="7" t="s">
        <v>122</v>
      </c>
    </row>
    <row r="4" spans="1:23" ht="43.5" x14ac:dyDescent="0.35">
      <c r="A4" s="6" t="str">
        <f t="shared" si="0"/>
        <v>R-003</v>
      </c>
      <c r="B4" s="7" t="s">
        <v>42</v>
      </c>
      <c r="C4" s="7" t="s">
        <v>123</v>
      </c>
      <c r="D4" s="7" t="s">
        <v>124</v>
      </c>
      <c r="E4" s="7" t="s">
        <v>125</v>
      </c>
      <c r="F4" s="7" t="s">
        <v>126</v>
      </c>
      <c r="G4" s="7">
        <v>4</v>
      </c>
      <c r="H4" s="7">
        <v>4</v>
      </c>
      <c r="I4" s="6">
        <f t="shared" si="1"/>
        <v>16</v>
      </c>
      <c r="J4" s="6" t="str">
        <f t="shared" si="2"/>
        <v>High</v>
      </c>
      <c r="K4" s="7">
        <v>3</v>
      </c>
      <c r="L4" s="6">
        <f t="shared" si="3"/>
        <v>2</v>
      </c>
      <c r="M4" s="6">
        <f t="shared" si="4"/>
        <v>3</v>
      </c>
      <c r="N4" s="6">
        <f t="shared" si="5"/>
        <v>6</v>
      </c>
      <c r="O4" s="6" t="str">
        <f t="shared" si="6"/>
        <v>Low</v>
      </c>
      <c r="P4" s="6" t="str">
        <f>IFERROR(VLOOKUP(B4,Control_Library!$A$2:$E$11,2,FALSE),"")</f>
        <v>8.15 Logging; 8.16 Monitoring activities</v>
      </c>
      <c r="Q4" s="6" t="str">
        <f>IFERROR(VLOOKUP(B4,Control_Library!$A$2:$E$11,3,FALSE),"")</f>
        <v>Accountability and security of processing</v>
      </c>
      <c r="R4" s="6" t="str">
        <f>IFERROR(VLOOKUP(B4,Control_Library!$A$2:$E$11,4,FALSE),"")</f>
        <v>Security logs are not centrally retained or regularly reviewed</v>
      </c>
      <c r="S4" s="6" t="str">
        <f>IFERROR(VLOOKUP(B4,Control_Library!$A$2:$E$11,5,FALSE),"")</f>
        <v>Enable central logging, alert tuning, and evidence retention aligned to policy</v>
      </c>
      <c r="T4" s="7" t="s">
        <v>29</v>
      </c>
      <c r="U4" s="8">
        <v>46130.843986449807</v>
      </c>
      <c r="V4" s="7" t="s">
        <v>28</v>
      </c>
      <c r="W4" s="7" t="s">
        <v>127</v>
      </c>
    </row>
    <row r="5" spans="1:23" ht="58" x14ac:dyDescent="0.35">
      <c r="A5" s="6" t="str">
        <f t="shared" si="0"/>
        <v>R-004</v>
      </c>
      <c r="B5" s="7" t="s">
        <v>47</v>
      </c>
      <c r="C5" s="7" t="s">
        <v>128</v>
      </c>
      <c r="D5" s="7" t="s">
        <v>129</v>
      </c>
      <c r="E5" s="7" t="s">
        <v>130</v>
      </c>
      <c r="F5" s="7" t="s">
        <v>131</v>
      </c>
      <c r="G5" s="7">
        <v>3</v>
      </c>
      <c r="H5" s="7">
        <v>5</v>
      </c>
      <c r="I5" s="6">
        <f t="shared" si="1"/>
        <v>15</v>
      </c>
      <c r="J5" s="6" t="str">
        <f t="shared" si="2"/>
        <v>High</v>
      </c>
      <c r="K5" s="7">
        <v>2</v>
      </c>
      <c r="L5" s="6">
        <f t="shared" si="3"/>
        <v>2</v>
      </c>
      <c r="M5" s="6">
        <f t="shared" si="4"/>
        <v>4</v>
      </c>
      <c r="N5" s="6">
        <f t="shared" si="5"/>
        <v>8</v>
      </c>
      <c r="O5" s="6" t="str">
        <f t="shared" si="6"/>
        <v>Medium</v>
      </c>
      <c r="P5" s="6" t="str">
        <f>IFERROR(VLOOKUP(B5,Control_Library!$A$2:$E$11,2,FALSE),"")</f>
        <v>8.20 Network security; 8.9 Configuration management; 8.19 Installation of software on operational systems</v>
      </c>
      <c r="Q5" s="6" t="str">
        <f>IFERROR(VLOOKUP(B5,Control_Library!$A$2:$E$11,3,FALSE),"")</f>
        <v>Security of processing / safety-aligned technical measures</v>
      </c>
      <c r="R5" s="6" t="str">
        <f>IFERROR(VLOOKUP(B5,Control_Library!$A$2:$E$11,4,FALSE),"")</f>
        <v>Industrial devices lack hardening standards and segmentation review</v>
      </c>
      <c r="S5" s="6" t="str">
        <f>IFERROR(VLOOKUP(B5,Control_Library!$A$2:$E$11,5,FALSE),"")</f>
        <v>Define OT baseline hardening, secure remote access, and segmented architecture reviews</v>
      </c>
      <c r="T5" s="7" t="s">
        <v>38</v>
      </c>
      <c r="U5" s="8">
        <v>46169.843986449829</v>
      </c>
      <c r="V5" s="7" t="s">
        <v>28</v>
      </c>
      <c r="W5" s="7" t="s">
        <v>132</v>
      </c>
    </row>
    <row r="6" spans="1:23" x14ac:dyDescent="0.35">
      <c r="A6" s="6" t="str">
        <f t="shared" si="0"/>
        <v/>
      </c>
      <c r="B6" s="7"/>
      <c r="C6" s="7"/>
      <c r="D6" s="7"/>
      <c r="E6" s="7"/>
      <c r="F6" s="7"/>
      <c r="G6" s="7"/>
      <c r="H6" s="7"/>
      <c r="I6" s="6" t="str">
        <f t="shared" si="1"/>
        <v/>
      </c>
      <c r="J6" s="6" t="str">
        <f t="shared" si="2"/>
        <v/>
      </c>
      <c r="K6" s="7"/>
      <c r="L6" s="6" t="str">
        <f t="shared" si="3"/>
        <v/>
      </c>
      <c r="M6" s="6" t="str">
        <f t="shared" si="4"/>
        <v/>
      </c>
      <c r="N6" s="6" t="str">
        <f t="shared" si="5"/>
        <v/>
      </c>
      <c r="O6" s="6" t="str">
        <f t="shared" si="6"/>
        <v/>
      </c>
      <c r="P6" s="6" t="str">
        <f>IFERROR(VLOOKUP(B6,Control_Library!$A$2:$E$11,2,FALSE),"")</f>
        <v/>
      </c>
      <c r="Q6" s="6" t="str">
        <f>IFERROR(VLOOKUP(B6,Control_Library!$A$2:$E$11,3,FALSE),"")</f>
        <v/>
      </c>
      <c r="R6" s="6" t="str">
        <f>IFERROR(VLOOKUP(B6,Control_Library!$A$2:$E$11,4,FALSE),"")</f>
        <v/>
      </c>
      <c r="S6" s="6" t="str">
        <f>IFERROR(VLOOKUP(B6,Control_Library!$A$2:$E$11,5,FALSE),"")</f>
        <v/>
      </c>
      <c r="T6" s="7"/>
      <c r="U6" s="8"/>
      <c r="V6" s="7"/>
      <c r="W6" s="7"/>
    </row>
    <row r="7" spans="1:23" x14ac:dyDescent="0.35">
      <c r="A7" s="6" t="str">
        <f t="shared" si="0"/>
        <v/>
      </c>
      <c r="B7" s="7"/>
      <c r="C7" s="7"/>
      <c r="D7" s="7"/>
      <c r="E7" s="7"/>
      <c r="F7" s="7"/>
      <c r="G7" s="7"/>
      <c r="H7" s="7"/>
      <c r="I7" s="6" t="str">
        <f t="shared" si="1"/>
        <v/>
      </c>
      <c r="J7" s="6" t="str">
        <f t="shared" si="2"/>
        <v/>
      </c>
      <c r="K7" s="7"/>
      <c r="L7" s="6" t="str">
        <f t="shared" si="3"/>
        <v/>
      </c>
      <c r="M7" s="6" t="str">
        <f t="shared" si="4"/>
        <v/>
      </c>
      <c r="N7" s="6" t="str">
        <f t="shared" si="5"/>
        <v/>
      </c>
      <c r="O7" s="6" t="str">
        <f t="shared" si="6"/>
        <v/>
      </c>
      <c r="P7" s="6" t="str">
        <f>IFERROR(VLOOKUP(B7,Control_Library!$A$2:$E$11,2,FALSE),"")</f>
        <v/>
      </c>
      <c r="Q7" s="6" t="str">
        <f>IFERROR(VLOOKUP(B7,Control_Library!$A$2:$E$11,3,FALSE),"")</f>
        <v/>
      </c>
      <c r="R7" s="6" t="str">
        <f>IFERROR(VLOOKUP(B7,Control_Library!$A$2:$E$11,4,FALSE),"")</f>
        <v/>
      </c>
      <c r="S7" s="6" t="str">
        <f>IFERROR(VLOOKUP(B7,Control_Library!$A$2:$E$11,5,FALSE),"")</f>
        <v/>
      </c>
      <c r="T7" s="7"/>
      <c r="U7" s="8"/>
      <c r="V7" s="7"/>
      <c r="W7" s="7"/>
    </row>
    <row r="8" spans="1:23" x14ac:dyDescent="0.35">
      <c r="A8" s="6" t="str">
        <f t="shared" si="0"/>
        <v/>
      </c>
      <c r="B8" s="7"/>
      <c r="C8" s="7"/>
      <c r="D8" s="7"/>
      <c r="E8" s="7"/>
      <c r="F8" s="7"/>
      <c r="G8" s="7"/>
      <c r="H8" s="7"/>
      <c r="I8" s="6" t="str">
        <f t="shared" si="1"/>
        <v/>
      </c>
      <c r="J8" s="6" t="str">
        <f t="shared" si="2"/>
        <v/>
      </c>
      <c r="K8" s="7"/>
      <c r="L8" s="6" t="str">
        <f t="shared" si="3"/>
        <v/>
      </c>
      <c r="M8" s="6" t="str">
        <f t="shared" si="4"/>
        <v/>
      </c>
      <c r="N8" s="6" t="str">
        <f t="shared" si="5"/>
        <v/>
      </c>
      <c r="O8" s="6" t="str">
        <f t="shared" si="6"/>
        <v/>
      </c>
      <c r="P8" s="6" t="str">
        <f>IFERROR(VLOOKUP(B8,Control_Library!$A$2:$E$11,2,FALSE),"")</f>
        <v/>
      </c>
      <c r="Q8" s="6" t="str">
        <f>IFERROR(VLOOKUP(B8,Control_Library!$A$2:$E$11,3,FALSE),"")</f>
        <v/>
      </c>
      <c r="R8" s="6" t="str">
        <f>IFERROR(VLOOKUP(B8,Control_Library!$A$2:$E$11,4,FALSE),"")</f>
        <v/>
      </c>
      <c r="S8" s="6" t="str">
        <f>IFERROR(VLOOKUP(B8,Control_Library!$A$2:$E$11,5,FALSE),"")</f>
        <v/>
      </c>
      <c r="T8" s="7"/>
      <c r="U8" s="8"/>
      <c r="V8" s="7"/>
      <c r="W8" s="7"/>
    </row>
    <row r="9" spans="1:23" x14ac:dyDescent="0.35">
      <c r="A9" s="6" t="str">
        <f t="shared" si="0"/>
        <v/>
      </c>
      <c r="B9" s="7"/>
      <c r="C9" s="7"/>
      <c r="D9" s="7"/>
      <c r="E9" s="7"/>
      <c r="F9" s="7"/>
      <c r="G9" s="7"/>
      <c r="H9" s="7"/>
      <c r="I9" s="6" t="str">
        <f t="shared" si="1"/>
        <v/>
      </c>
      <c r="J9" s="6" t="str">
        <f t="shared" si="2"/>
        <v/>
      </c>
      <c r="K9" s="7"/>
      <c r="L9" s="6" t="str">
        <f t="shared" si="3"/>
        <v/>
      </c>
      <c r="M9" s="6" t="str">
        <f t="shared" si="4"/>
        <v/>
      </c>
      <c r="N9" s="6" t="str">
        <f t="shared" si="5"/>
        <v/>
      </c>
      <c r="O9" s="6" t="str">
        <f t="shared" si="6"/>
        <v/>
      </c>
      <c r="P9" s="6" t="str">
        <f>IFERROR(VLOOKUP(B9,Control_Library!$A$2:$E$11,2,FALSE),"")</f>
        <v/>
      </c>
      <c r="Q9" s="6" t="str">
        <f>IFERROR(VLOOKUP(B9,Control_Library!$A$2:$E$11,3,FALSE),"")</f>
        <v/>
      </c>
      <c r="R9" s="6" t="str">
        <f>IFERROR(VLOOKUP(B9,Control_Library!$A$2:$E$11,4,FALSE),"")</f>
        <v/>
      </c>
      <c r="S9" s="6" t="str">
        <f>IFERROR(VLOOKUP(B9,Control_Library!$A$2:$E$11,5,FALSE),"")</f>
        <v/>
      </c>
      <c r="T9" s="7"/>
      <c r="U9" s="8"/>
      <c r="V9" s="7"/>
      <c r="W9" s="7"/>
    </row>
    <row r="10" spans="1:23" x14ac:dyDescent="0.35">
      <c r="A10" s="6" t="str">
        <f t="shared" si="0"/>
        <v/>
      </c>
      <c r="B10" s="7"/>
      <c r="C10" s="7"/>
      <c r="D10" s="7"/>
      <c r="E10" s="7"/>
      <c r="F10" s="7"/>
      <c r="G10" s="7"/>
      <c r="H10" s="7"/>
      <c r="I10" s="6" t="str">
        <f t="shared" si="1"/>
        <v/>
      </c>
      <c r="J10" s="6" t="str">
        <f t="shared" si="2"/>
        <v/>
      </c>
      <c r="K10" s="7"/>
      <c r="L10" s="6" t="str">
        <f t="shared" si="3"/>
        <v/>
      </c>
      <c r="M10" s="6" t="str">
        <f t="shared" si="4"/>
        <v/>
      </c>
      <c r="N10" s="6" t="str">
        <f t="shared" si="5"/>
        <v/>
      </c>
      <c r="O10" s="6" t="str">
        <f t="shared" si="6"/>
        <v/>
      </c>
      <c r="P10" s="6" t="str">
        <f>IFERROR(VLOOKUP(B10,Control_Library!$A$2:$E$11,2,FALSE),"")</f>
        <v/>
      </c>
      <c r="Q10" s="6" t="str">
        <f>IFERROR(VLOOKUP(B10,Control_Library!$A$2:$E$11,3,FALSE),"")</f>
        <v/>
      </c>
      <c r="R10" s="6" t="str">
        <f>IFERROR(VLOOKUP(B10,Control_Library!$A$2:$E$11,4,FALSE),"")</f>
        <v/>
      </c>
      <c r="S10" s="6" t="str">
        <f>IFERROR(VLOOKUP(B10,Control_Library!$A$2:$E$11,5,FALSE),"")</f>
        <v/>
      </c>
      <c r="T10" s="7"/>
      <c r="U10" s="8"/>
      <c r="V10" s="7"/>
      <c r="W10" s="7"/>
    </row>
    <row r="11" spans="1:23" x14ac:dyDescent="0.35">
      <c r="A11" s="6" t="str">
        <f t="shared" si="0"/>
        <v/>
      </c>
      <c r="B11" s="7"/>
      <c r="C11" s="7"/>
      <c r="D11" s="7"/>
      <c r="E11" s="7"/>
      <c r="F11" s="7"/>
      <c r="G11" s="7"/>
      <c r="H11" s="7"/>
      <c r="I11" s="6" t="str">
        <f t="shared" si="1"/>
        <v/>
      </c>
      <c r="J11" s="6" t="str">
        <f t="shared" si="2"/>
        <v/>
      </c>
      <c r="K11" s="7"/>
      <c r="L11" s="6" t="str">
        <f t="shared" si="3"/>
        <v/>
      </c>
      <c r="M11" s="6" t="str">
        <f t="shared" si="4"/>
        <v/>
      </c>
      <c r="N11" s="6" t="str">
        <f t="shared" si="5"/>
        <v/>
      </c>
      <c r="O11" s="6" t="str">
        <f t="shared" si="6"/>
        <v/>
      </c>
      <c r="P11" s="6" t="str">
        <f>IFERROR(VLOOKUP(B11,Control_Library!$A$2:$E$11,2,FALSE),"")</f>
        <v/>
      </c>
      <c r="Q11" s="6" t="str">
        <f>IFERROR(VLOOKUP(B11,Control_Library!$A$2:$E$11,3,FALSE),"")</f>
        <v/>
      </c>
      <c r="R11" s="6" t="str">
        <f>IFERROR(VLOOKUP(B11,Control_Library!$A$2:$E$11,4,FALSE),"")</f>
        <v/>
      </c>
      <c r="S11" s="6" t="str">
        <f>IFERROR(VLOOKUP(B11,Control_Library!$A$2:$E$11,5,FALSE),"")</f>
        <v/>
      </c>
      <c r="T11" s="7"/>
      <c r="U11" s="8"/>
      <c r="V11" s="7"/>
      <c r="W11" s="7"/>
    </row>
    <row r="12" spans="1:23" x14ac:dyDescent="0.35">
      <c r="A12" s="6" t="str">
        <f t="shared" si="0"/>
        <v/>
      </c>
      <c r="B12" s="7"/>
      <c r="C12" s="7"/>
      <c r="D12" s="7"/>
      <c r="E12" s="7"/>
      <c r="F12" s="7"/>
      <c r="G12" s="7"/>
      <c r="H12" s="7"/>
      <c r="I12" s="6" t="str">
        <f t="shared" si="1"/>
        <v/>
      </c>
      <c r="J12" s="6" t="str">
        <f t="shared" si="2"/>
        <v/>
      </c>
      <c r="K12" s="7"/>
      <c r="L12" s="6" t="str">
        <f t="shared" si="3"/>
        <v/>
      </c>
      <c r="M12" s="6" t="str">
        <f t="shared" si="4"/>
        <v/>
      </c>
      <c r="N12" s="6" t="str">
        <f t="shared" si="5"/>
        <v/>
      </c>
      <c r="O12" s="6" t="str">
        <f t="shared" si="6"/>
        <v/>
      </c>
      <c r="P12" s="6" t="str">
        <f>IFERROR(VLOOKUP(B12,Control_Library!$A$2:$E$11,2,FALSE),"")</f>
        <v/>
      </c>
      <c r="Q12" s="6" t="str">
        <f>IFERROR(VLOOKUP(B12,Control_Library!$A$2:$E$11,3,FALSE),"")</f>
        <v/>
      </c>
      <c r="R12" s="6" t="str">
        <f>IFERROR(VLOOKUP(B12,Control_Library!$A$2:$E$11,4,FALSE),"")</f>
        <v/>
      </c>
      <c r="S12" s="6" t="str">
        <f>IFERROR(VLOOKUP(B12,Control_Library!$A$2:$E$11,5,FALSE),"")</f>
        <v/>
      </c>
      <c r="T12" s="7"/>
      <c r="U12" s="8"/>
      <c r="V12" s="7"/>
      <c r="W12" s="7"/>
    </row>
    <row r="13" spans="1:23" x14ac:dyDescent="0.35">
      <c r="A13" s="6" t="str">
        <f t="shared" si="0"/>
        <v/>
      </c>
      <c r="B13" s="7"/>
      <c r="C13" s="7"/>
      <c r="D13" s="7"/>
      <c r="E13" s="7"/>
      <c r="F13" s="7"/>
      <c r="G13" s="7"/>
      <c r="H13" s="7"/>
      <c r="I13" s="6" t="str">
        <f t="shared" si="1"/>
        <v/>
      </c>
      <c r="J13" s="6" t="str">
        <f t="shared" si="2"/>
        <v/>
      </c>
      <c r="K13" s="7"/>
      <c r="L13" s="6" t="str">
        <f t="shared" si="3"/>
        <v/>
      </c>
      <c r="M13" s="6" t="str">
        <f t="shared" si="4"/>
        <v/>
      </c>
      <c r="N13" s="6" t="str">
        <f t="shared" si="5"/>
        <v/>
      </c>
      <c r="O13" s="6" t="str">
        <f t="shared" si="6"/>
        <v/>
      </c>
      <c r="P13" s="6" t="str">
        <f>IFERROR(VLOOKUP(B13,Control_Library!$A$2:$E$11,2,FALSE),"")</f>
        <v/>
      </c>
      <c r="Q13" s="6" t="str">
        <f>IFERROR(VLOOKUP(B13,Control_Library!$A$2:$E$11,3,FALSE),"")</f>
        <v/>
      </c>
      <c r="R13" s="6" t="str">
        <f>IFERROR(VLOOKUP(B13,Control_Library!$A$2:$E$11,4,FALSE),"")</f>
        <v/>
      </c>
      <c r="S13" s="6" t="str">
        <f>IFERROR(VLOOKUP(B13,Control_Library!$A$2:$E$11,5,FALSE),"")</f>
        <v/>
      </c>
      <c r="T13" s="7"/>
      <c r="U13" s="8"/>
      <c r="V13" s="7"/>
      <c r="W13" s="7"/>
    </row>
    <row r="14" spans="1:23" x14ac:dyDescent="0.35">
      <c r="A14" s="6" t="str">
        <f t="shared" si="0"/>
        <v/>
      </c>
      <c r="B14" s="7"/>
      <c r="C14" s="7"/>
      <c r="D14" s="7"/>
      <c r="E14" s="7"/>
      <c r="F14" s="7"/>
      <c r="G14" s="7"/>
      <c r="H14" s="7"/>
      <c r="I14" s="6" t="str">
        <f t="shared" si="1"/>
        <v/>
      </c>
      <c r="J14" s="6" t="str">
        <f t="shared" si="2"/>
        <v/>
      </c>
      <c r="K14" s="7"/>
      <c r="L14" s="6" t="str">
        <f t="shared" si="3"/>
        <v/>
      </c>
      <c r="M14" s="6" t="str">
        <f t="shared" si="4"/>
        <v/>
      </c>
      <c r="N14" s="6" t="str">
        <f t="shared" si="5"/>
        <v/>
      </c>
      <c r="O14" s="6" t="str">
        <f t="shared" si="6"/>
        <v/>
      </c>
      <c r="P14" s="6" t="str">
        <f>IFERROR(VLOOKUP(B14,Control_Library!$A$2:$E$11,2,FALSE),"")</f>
        <v/>
      </c>
      <c r="Q14" s="6" t="str">
        <f>IFERROR(VLOOKUP(B14,Control_Library!$A$2:$E$11,3,FALSE),"")</f>
        <v/>
      </c>
      <c r="R14" s="6" t="str">
        <f>IFERROR(VLOOKUP(B14,Control_Library!$A$2:$E$11,4,FALSE),"")</f>
        <v/>
      </c>
      <c r="S14" s="6" t="str">
        <f>IFERROR(VLOOKUP(B14,Control_Library!$A$2:$E$11,5,FALSE),"")</f>
        <v/>
      </c>
      <c r="T14" s="7"/>
      <c r="U14" s="8"/>
      <c r="V14" s="7"/>
      <c r="W14" s="7"/>
    </row>
    <row r="15" spans="1:23" x14ac:dyDescent="0.35">
      <c r="A15" s="6" t="str">
        <f t="shared" si="0"/>
        <v/>
      </c>
      <c r="B15" s="7"/>
      <c r="C15" s="7"/>
      <c r="D15" s="7"/>
      <c r="E15" s="7"/>
      <c r="F15" s="7"/>
      <c r="G15" s="7"/>
      <c r="H15" s="7"/>
      <c r="I15" s="6" t="str">
        <f t="shared" si="1"/>
        <v/>
      </c>
      <c r="J15" s="6" t="str">
        <f t="shared" si="2"/>
        <v/>
      </c>
      <c r="K15" s="7"/>
      <c r="L15" s="6" t="str">
        <f t="shared" si="3"/>
        <v/>
      </c>
      <c r="M15" s="6" t="str">
        <f t="shared" si="4"/>
        <v/>
      </c>
      <c r="N15" s="6" t="str">
        <f t="shared" si="5"/>
        <v/>
      </c>
      <c r="O15" s="6" t="str">
        <f t="shared" si="6"/>
        <v/>
      </c>
      <c r="P15" s="6" t="str">
        <f>IFERROR(VLOOKUP(B15,Control_Library!$A$2:$E$11,2,FALSE),"")</f>
        <v/>
      </c>
      <c r="Q15" s="6" t="str">
        <f>IFERROR(VLOOKUP(B15,Control_Library!$A$2:$E$11,3,FALSE),"")</f>
        <v/>
      </c>
      <c r="R15" s="6" t="str">
        <f>IFERROR(VLOOKUP(B15,Control_Library!$A$2:$E$11,4,FALSE),"")</f>
        <v/>
      </c>
      <c r="S15" s="6" t="str">
        <f>IFERROR(VLOOKUP(B15,Control_Library!$A$2:$E$11,5,FALSE),"")</f>
        <v/>
      </c>
      <c r="T15" s="7"/>
      <c r="U15" s="8"/>
      <c r="V15" s="7"/>
      <c r="W15" s="7"/>
    </row>
    <row r="16" spans="1:23" x14ac:dyDescent="0.35">
      <c r="A16" s="6" t="str">
        <f t="shared" si="0"/>
        <v/>
      </c>
      <c r="B16" s="7"/>
      <c r="C16" s="7"/>
      <c r="D16" s="7"/>
      <c r="E16" s="7"/>
      <c r="F16" s="7"/>
      <c r="G16" s="7"/>
      <c r="H16" s="7"/>
      <c r="I16" s="6" t="str">
        <f t="shared" si="1"/>
        <v/>
      </c>
      <c r="J16" s="6" t="str">
        <f t="shared" si="2"/>
        <v/>
      </c>
      <c r="K16" s="7"/>
      <c r="L16" s="6" t="str">
        <f t="shared" si="3"/>
        <v/>
      </c>
      <c r="M16" s="6" t="str">
        <f t="shared" si="4"/>
        <v/>
      </c>
      <c r="N16" s="6" t="str">
        <f t="shared" si="5"/>
        <v/>
      </c>
      <c r="O16" s="6" t="str">
        <f t="shared" si="6"/>
        <v/>
      </c>
      <c r="P16" s="6" t="str">
        <f>IFERROR(VLOOKUP(B16,Control_Library!$A$2:$E$11,2,FALSE),"")</f>
        <v/>
      </c>
      <c r="Q16" s="6" t="str">
        <f>IFERROR(VLOOKUP(B16,Control_Library!$A$2:$E$11,3,FALSE),"")</f>
        <v/>
      </c>
      <c r="R16" s="6" t="str">
        <f>IFERROR(VLOOKUP(B16,Control_Library!$A$2:$E$11,4,FALSE),"")</f>
        <v/>
      </c>
      <c r="S16" s="6" t="str">
        <f>IFERROR(VLOOKUP(B16,Control_Library!$A$2:$E$11,5,FALSE),"")</f>
        <v/>
      </c>
      <c r="T16" s="7"/>
      <c r="U16" s="8"/>
      <c r="V16" s="7"/>
      <c r="W16" s="7"/>
    </row>
    <row r="17" spans="1:23" x14ac:dyDescent="0.35">
      <c r="A17" s="6" t="str">
        <f t="shared" si="0"/>
        <v/>
      </c>
      <c r="B17" s="7"/>
      <c r="C17" s="7"/>
      <c r="D17" s="7"/>
      <c r="E17" s="7"/>
      <c r="F17" s="7"/>
      <c r="G17" s="7"/>
      <c r="H17" s="7"/>
      <c r="I17" s="6" t="str">
        <f t="shared" si="1"/>
        <v/>
      </c>
      <c r="J17" s="6" t="str">
        <f t="shared" si="2"/>
        <v/>
      </c>
      <c r="K17" s="7"/>
      <c r="L17" s="6" t="str">
        <f t="shared" si="3"/>
        <v/>
      </c>
      <c r="M17" s="6" t="str">
        <f t="shared" si="4"/>
        <v/>
      </c>
      <c r="N17" s="6" t="str">
        <f t="shared" si="5"/>
        <v/>
      </c>
      <c r="O17" s="6" t="str">
        <f t="shared" si="6"/>
        <v/>
      </c>
      <c r="P17" s="6" t="str">
        <f>IFERROR(VLOOKUP(B17,Control_Library!$A$2:$E$11,2,FALSE),"")</f>
        <v/>
      </c>
      <c r="Q17" s="6" t="str">
        <f>IFERROR(VLOOKUP(B17,Control_Library!$A$2:$E$11,3,FALSE),"")</f>
        <v/>
      </c>
      <c r="R17" s="6" t="str">
        <f>IFERROR(VLOOKUP(B17,Control_Library!$A$2:$E$11,4,FALSE),"")</f>
        <v/>
      </c>
      <c r="S17" s="6" t="str">
        <f>IFERROR(VLOOKUP(B17,Control_Library!$A$2:$E$11,5,FALSE),"")</f>
        <v/>
      </c>
      <c r="T17" s="7"/>
      <c r="U17" s="8"/>
      <c r="V17" s="7"/>
      <c r="W17" s="7"/>
    </row>
    <row r="18" spans="1:23" x14ac:dyDescent="0.35">
      <c r="A18" s="6" t="str">
        <f t="shared" si="0"/>
        <v/>
      </c>
      <c r="B18" s="7"/>
      <c r="C18" s="7"/>
      <c r="D18" s="7"/>
      <c r="E18" s="7"/>
      <c r="F18" s="7"/>
      <c r="G18" s="7"/>
      <c r="H18" s="7"/>
      <c r="I18" s="6" t="str">
        <f t="shared" si="1"/>
        <v/>
      </c>
      <c r="J18" s="6" t="str">
        <f t="shared" si="2"/>
        <v/>
      </c>
      <c r="K18" s="7"/>
      <c r="L18" s="6" t="str">
        <f t="shared" si="3"/>
        <v/>
      </c>
      <c r="M18" s="6" t="str">
        <f t="shared" si="4"/>
        <v/>
      </c>
      <c r="N18" s="6" t="str">
        <f t="shared" si="5"/>
        <v/>
      </c>
      <c r="O18" s="6" t="str">
        <f t="shared" si="6"/>
        <v/>
      </c>
      <c r="P18" s="6" t="str">
        <f>IFERROR(VLOOKUP(B18,Control_Library!$A$2:$E$11,2,FALSE),"")</f>
        <v/>
      </c>
      <c r="Q18" s="6" t="str">
        <f>IFERROR(VLOOKUP(B18,Control_Library!$A$2:$E$11,3,FALSE),"")</f>
        <v/>
      </c>
      <c r="R18" s="6" t="str">
        <f>IFERROR(VLOOKUP(B18,Control_Library!$A$2:$E$11,4,FALSE),"")</f>
        <v/>
      </c>
      <c r="S18" s="6" t="str">
        <f>IFERROR(VLOOKUP(B18,Control_Library!$A$2:$E$11,5,FALSE),"")</f>
        <v/>
      </c>
      <c r="T18" s="7"/>
      <c r="U18" s="8"/>
      <c r="V18" s="7"/>
      <c r="W18" s="7"/>
    </row>
    <row r="19" spans="1:23" x14ac:dyDescent="0.35">
      <c r="A19" s="6" t="str">
        <f t="shared" si="0"/>
        <v/>
      </c>
      <c r="B19" s="7"/>
      <c r="C19" s="7"/>
      <c r="D19" s="7"/>
      <c r="E19" s="7"/>
      <c r="F19" s="7"/>
      <c r="G19" s="7"/>
      <c r="H19" s="7"/>
      <c r="I19" s="6" t="str">
        <f t="shared" si="1"/>
        <v/>
      </c>
      <c r="J19" s="6" t="str">
        <f t="shared" si="2"/>
        <v/>
      </c>
      <c r="K19" s="7"/>
      <c r="L19" s="6" t="str">
        <f t="shared" si="3"/>
        <v/>
      </c>
      <c r="M19" s="6" t="str">
        <f t="shared" si="4"/>
        <v/>
      </c>
      <c r="N19" s="6" t="str">
        <f t="shared" si="5"/>
        <v/>
      </c>
      <c r="O19" s="6" t="str">
        <f t="shared" si="6"/>
        <v/>
      </c>
      <c r="P19" s="6" t="str">
        <f>IFERROR(VLOOKUP(B19,Control_Library!$A$2:$E$11,2,FALSE),"")</f>
        <v/>
      </c>
      <c r="Q19" s="6" t="str">
        <f>IFERROR(VLOOKUP(B19,Control_Library!$A$2:$E$11,3,FALSE),"")</f>
        <v/>
      </c>
      <c r="R19" s="6" t="str">
        <f>IFERROR(VLOOKUP(B19,Control_Library!$A$2:$E$11,4,FALSE),"")</f>
        <v/>
      </c>
      <c r="S19" s="6" t="str">
        <f>IFERROR(VLOOKUP(B19,Control_Library!$A$2:$E$11,5,FALSE),"")</f>
        <v/>
      </c>
      <c r="T19" s="7"/>
      <c r="U19" s="8"/>
      <c r="V19" s="7"/>
      <c r="W19" s="7"/>
    </row>
    <row r="20" spans="1:23" x14ac:dyDescent="0.35">
      <c r="A20" s="6" t="str">
        <f t="shared" si="0"/>
        <v/>
      </c>
      <c r="B20" s="7"/>
      <c r="C20" s="7"/>
      <c r="D20" s="7"/>
      <c r="E20" s="7"/>
      <c r="F20" s="7"/>
      <c r="G20" s="7"/>
      <c r="H20" s="7"/>
      <c r="I20" s="6" t="str">
        <f t="shared" si="1"/>
        <v/>
      </c>
      <c r="J20" s="6" t="str">
        <f t="shared" si="2"/>
        <v/>
      </c>
      <c r="K20" s="7"/>
      <c r="L20" s="6" t="str">
        <f t="shared" si="3"/>
        <v/>
      </c>
      <c r="M20" s="6" t="str">
        <f t="shared" si="4"/>
        <v/>
      </c>
      <c r="N20" s="6" t="str">
        <f t="shared" si="5"/>
        <v/>
      </c>
      <c r="O20" s="6" t="str">
        <f t="shared" si="6"/>
        <v/>
      </c>
      <c r="P20" s="6" t="str">
        <f>IFERROR(VLOOKUP(B20,Control_Library!$A$2:$E$11,2,FALSE),"")</f>
        <v/>
      </c>
      <c r="Q20" s="6" t="str">
        <f>IFERROR(VLOOKUP(B20,Control_Library!$A$2:$E$11,3,FALSE),"")</f>
        <v/>
      </c>
      <c r="R20" s="6" t="str">
        <f>IFERROR(VLOOKUP(B20,Control_Library!$A$2:$E$11,4,FALSE),"")</f>
        <v/>
      </c>
      <c r="S20" s="6" t="str">
        <f>IFERROR(VLOOKUP(B20,Control_Library!$A$2:$E$11,5,FALSE),"")</f>
        <v/>
      </c>
      <c r="T20" s="7"/>
      <c r="U20" s="8"/>
      <c r="V20" s="7"/>
      <c r="W20" s="7"/>
    </row>
    <row r="21" spans="1:23" x14ac:dyDescent="0.35">
      <c r="A21" s="6" t="str">
        <f t="shared" si="0"/>
        <v/>
      </c>
      <c r="B21" s="7"/>
      <c r="C21" s="7"/>
      <c r="D21" s="7"/>
      <c r="E21" s="7"/>
      <c r="F21" s="7"/>
      <c r="G21" s="7"/>
      <c r="H21" s="7"/>
      <c r="I21" s="6" t="str">
        <f t="shared" si="1"/>
        <v/>
      </c>
      <c r="J21" s="6" t="str">
        <f t="shared" si="2"/>
        <v/>
      </c>
      <c r="K21" s="7"/>
      <c r="L21" s="6" t="str">
        <f t="shared" si="3"/>
        <v/>
      </c>
      <c r="M21" s="6" t="str">
        <f t="shared" si="4"/>
        <v/>
      </c>
      <c r="N21" s="6" t="str">
        <f t="shared" si="5"/>
        <v/>
      </c>
      <c r="O21" s="6" t="str">
        <f t="shared" si="6"/>
        <v/>
      </c>
      <c r="P21" s="6" t="str">
        <f>IFERROR(VLOOKUP(B21,Control_Library!$A$2:$E$11,2,FALSE),"")</f>
        <v/>
      </c>
      <c r="Q21" s="6" t="str">
        <f>IFERROR(VLOOKUP(B21,Control_Library!$A$2:$E$11,3,FALSE),"")</f>
        <v/>
      </c>
      <c r="R21" s="6" t="str">
        <f>IFERROR(VLOOKUP(B21,Control_Library!$A$2:$E$11,4,FALSE),"")</f>
        <v/>
      </c>
      <c r="S21" s="6" t="str">
        <f>IFERROR(VLOOKUP(B21,Control_Library!$A$2:$E$11,5,FALSE),"")</f>
        <v/>
      </c>
      <c r="T21" s="7"/>
      <c r="U21" s="8"/>
      <c r="V21" s="7"/>
      <c r="W21" s="7"/>
    </row>
    <row r="22" spans="1:23" x14ac:dyDescent="0.35">
      <c r="A22" s="6" t="str">
        <f t="shared" si="0"/>
        <v/>
      </c>
      <c r="B22" s="7"/>
      <c r="C22" s="7"/>
      <c r="D22" s="7"/>
      <c r="E22" s="7"/>
      <c r="F22" s="7"/>
      <c r="G22" s="7"/>
      <c r="H22" s="7"/>
      <c r="I22" s="6" t="str">
        <f t="shared" si="1"/>
        <v/>
      </c>
      <c r="J22" s="6" t="str">
        <f t="shared" si="2"/>
        <v/>
      </c>
      <c r="K22" s="7"/>
      <c r="L22" s="6" t="str">
        <f t="shared" si="3"/>
        <v/>
      </c>
      <c r="M22" s="6" t="str">
        <f t="shared" si="4"/>
        <v/>
      </c>
      <c r="N22" s="6" t="str">
        <f t="shared" si="5"/>
        <v/>
      </c>
      <c r="O22" s="6" t="str">
        <f t="shared" si="6"/>
        <v/>
      </c>
      <c r="P22" s="6" t="str">
        <f>IFERROR(VLOOKUP(B22,Control_Library!$A$2:$E$11,2,FALSE),"")</f>
        <v/>
      </c>
      <c r="Q22" s="6" t="str">
        <f>IFERROR(VLOOKUP(B22,Control_Library!$A$2:$E$11,3,FALSE),"")</f>
        <v/>
      </c>
      <c r="R22" s="6" t="str">
        <f>IFERROR(VLOOKUP(B22,Control_Library!$A$2:$E$11,4,FALSE),"")</f>
        <v/>
      </c>
      <c r="S22" s="6" t="str">
        <f>IFERROR(VLOOKUP(B22,Control_Library!$A$2:$E$11,5,FALSE),"")</f>
        <v/>
      </c>
      <c r="T22" s="7"/>
      <c r="U22" s="8"/>
      <c r="V22" s="7"/>
      <c r="W22" s="7"/>
    </row>
    <row r="23" spans="1:23" x14ac:dyDescent="0.35">
      <c r="A23" s="6" t="str">
        <f t="shared" si="0"/>
        <v/>
      </c>
      <c r="B23" s="7"/>
      <c r="C23" s="7"/>
      <c r="D23" s="7"/>
      <c r="E23" s="7"/>
      <c r="F23" s="7"/>
      <c r="G23" s="7"/>
      <c r="H23" s="7"/>
      <c r="I23" s="6" t="str">
        <f t="shared" si="1"/>
        <v/>
      </c>
      <c r="J23" s="6" t="str">
        <f t="shared" si="2"/>
        <v/>
      </c>
      <c r="K23" s="7"/>
      <c r="L23" s="6" t="str">
        <f t="shared" si="3"/>
        <v/>
      </c>
      <c r="M23" s="6" t="str">
        <f t="shared" si="4"/>
        <v/>
      </c>
      <c r="N23" s="6" t="str">
        <f t="shared" si="5"/>
        <v/>
      </c>
      <c r="O23" s="6" t="str">
        <f t="shared" si="6"/>
        <v/>
      </c>
      <c r="P23" s="6" t="str">
        <f>IFERROR(VLOOKUP(B23,Control_Library!$A$2:$E$11,2,FALSE),"")</f>
        <v/>
      </c>
      <c r="Q23" s="6" t="str">
        <f>IFERROR(VLOOKUP(B23,Control_Library!$A$2:$E$11,3,FALSE),"")</f>
        <v/>
      </c>
      <c r="R23" s="6" t="str">
        <f>IFERROR(VLOOKUP(B23,Control_Library!$A$2:$E$11,4,FALSE),"")</f>
        <v/>
      </c>
      <c r="S23" s="6" t="str">
        <f>IFERROR(VLOOKUP(B23,Control_Library!$A$2:$E$11,5,FALSE),"")</f>
        <v/>
      </c>
      <c r="T23" s="7"/>
      <c r="U23" s="8"/>
      <c r="V23" s="7"/>
      <c r="W23" s="7"/>
    </row>
    <row r="24" spans="1:23" x14ac:dyDescent="0.35">
      <c r="A24" s="6" t="str">
        <f t="shared" si="0"/>
        <v/>
      </c>
      <c r="B24" s="7"/>
      <c r="C24" s="7"/>
      <c r="D24" s="7"/>
      <c r="E24" s="7"/>
      <c r="F24" s="7"/>
      <c r="G24" s="7"/>
      <c r="H24" s="7"/>
      <c r="I24" s="6" t="str">
        <f t="shared" si="1"/>
        <v/>
      </c>
      <c r="J24" s="6" t="str">
        <f t="shared" si="2"/>
        <v/>
      </c>
      <c r="K24" s="7"/>
      <c r="L24" s="6" t="str">
        <f t="shared" si="3"/>
        <v/>
      </c>
      <c r="M24" s="6" t="str">
        <f t="shared" si="4"/>
        <v/>
      </c>
      <c r="N24" s="6" t="str">
        <f t="shared" si="5"/>
        <v/>
      </c>
      <c r="O24" s="6" t="str">
        <f t="shared" si="6"/>
        <v/>
      </c>
      <c r="P24" s="6" t="str">
        <f>IFERROR(VLOOKUP(B24,Control_Library!$A$2:$E$11,2,FALSE),"")</f>
        <v/>
      </c>
      <c r="Q24" s="6" t="str">
        <f>IFERROR(VLOOKUP(B24,Control_Library!$A$2:$E$11,3,FALSE),"")</f>
        <v/>
      </c>
      <c r="R24" s="6" t="str">
        <f>IFERROR(VLOOKUP(B24,Control_Library!$A$2:$E$11,4,FALSE),"")</f>
        <v/>
      </c>
      <c r="S24" s="6" t="str">
        <f>IFERROR(VLOOKUP(B24,Control_Library!$A$2:$E$11,5,FALSE),"")</f>
        <v/>
      </c>
      <c r="T24" s="7"/>
      <c r="U24" s="8"/>
      <c r="V24" s="7"/>
      <c r="W24" s="7"/>
    </row>
    <row r="25" spans="1:23" x14ac:dyDescent="0.35">
      <c r="A25" s="6" t="str">
        <f t="shared" si="0"/>
        <v/>
      </c>
      <c r="B25" s="7"/>
      <c r="C25" s="7"/>
      <c r="D25" s="7"/>
      <c r="E25" s="7"/>
      <c r="F25" s="7"/>
      <c r="G25" s="7"/>
      <c r="H25" s="7"/>
      <c r="I25" s="6" t="str">
        <f t="shared" si="1"/>
        <v/>
      </c>
      <c r="J25" s="6" t="str">
        <f t="shared" si="2"/>
        <v/>
      </c>
      <c r="K25" s="7"/>
      <c r="L25" s="6" t="str">
        <f t="shared" si="3"/>
        <v/>
      </c>
      <c r="M25" s="6" t="str">
        <f t="shared" si="4"/>
        <v/>
      </c>
      <c r="N25" s="6" t="str">
        <f t="shared" si="5"/>
        <v/>
      </c>
      <c r="O25" s="6" t="str">
        <f t="shared" si="6"/>
        <v/>
      </c>
      <c r="P25" s="6" t="str">
        <f>IFERROR(VLOOKUP(B25,Control_Library!$A$2:$E$11,2,FALSE),"")</f>
        <v/>
      </c>
      <c r="Q25" s="6" t="str">
        <f>IFERROR(VLOOKUP(B25,Control_Library!$A$2:$E$11,3,FALSE),"")</f>
        <v/>
      </c>
      <c r="R25" s="6" t="str">
        <f>IFERROR(VLOOKUP(B25,Control_Library!$A$2:$E$11,4,FALSE),"")</f>
        <v/>
      </c>
      <c r="S25" s="6" t="str">
        <f>IFERROR(VLOOKUP(B25,Control_Library!$A$2:$E$11,5,FALSE),"")</f>
        <v/>
      </c>
      <c r="T25" s="7"/>
      <c r="U25" s="8"/>
      <c r="V25" s="7"/>
      <c r="W25" s="7"/>
    </row>
    <row r="26" spans="1:23" x14ac:dyDescent="0.35">
      <c r="A26" s="6" t="str">
        <f t="shared" si="0"/>
        <v/>
      </c>
      <c r="B26" s="7"/>
      <c r="C26" s="7"/>
      <c r="D26" s="7"/>
      <c r="E26" s="7"/>
      <c r="F26" s="7"/>
      <c r="G26" s="7"/>
      <c r="H26" s="7"/>
      <c r="I26" s="6" t="str">
        <f t="shared" si="1"/>
        <v/>
      </c>
      <c r="J26" s="6" t="str">
        <f t="shared" si="2"/>
        <v/>
      </c>
      <c r="K26" s="7"/>
      <c r="L26" s="6" t="str">
        <f t="shared" si="3"/>
        <v/>
      </c>
      <c r="M26" s="6" t="str">
        <f t="shared" si="4"/>
        <v/>
      </c>
      <c r="N26" s="6" t="str">
        <f t="shared" si="5"/>
        <v/>
      </c>
      <c r="O26" s="6" t="str">
        <f t="shared" si="6"/>
        <v/>
      </c>
      <c r="P26" s="6" t="str">
        <f>IFERROR(VLOOKUP(B26,Control_Library!$A$2:$E$11,2,FALSE),"")</f>
        <v/>
      </c>
      <c r="Q26" s="6" t="str">
        <f>IFERROR(VLOOKUP(B26,Control_Library!$A$2:$E$11,3,FALSE),"")</f>
        <v/>
      </c>
      <c r="R26" s="6" t="str">
        <f>IFERROR(VLOOKUP(B26,Control_Library!$A$2:$E$11,4,FALSE),"")</f>
        <v/>
      </c>
      <c r="S26" s="6" t="str">
        <f>IFERROR(VLOOKUP(B26,Control_Library!$A$2:$E$11,5,FALSE),"")</f>
        <v/>
      </c>
      <c r="T26" s="7"/>
      <c r="U26" s="8"/>
      <c r="V26" s="7"/>
      <c r="W26" s="7"/>
    </row>
    <row r="27" spans="1:23" x14ac:dyDescent="0.35">
      <c r="A27" s="6" t="str">
        <f t="shared" si="0"/>
        <v/>
      </c>
      <c r="B27" s="7"/>
      <c r="C27" s="7"/>
      <c r="D27" s="7"/>
      <c r="E27" s="7"/>
      <c r="F27" s="7"/>
      <c r="G27" s="7"/>
      <c r="H27" s="7"/>
      <c r="I27" s="6" t="str">
        <f t="shared" si="1"/>
        <v/>
      </c>
      <c r="J27" s="6" t="str">
        <f t="shared" si="2"/>
        <v/>
      </c>
      <c r="K27" s="7"/>
      <c r="L27" s="6" t="str">
        <f t="shared" si="3"/>
        <v/>
      </c>
      <c r="M27" s="6" t="str">
        <f t="shared" si="4"/>
        <v/>
      </c>
      <c r="N27" s="6" t="str">
        <f t="shared" si="5"/>
        <v/>
      </c>
      <c r="O27" s="6" t="str">
        <f t="shared" si="6"/>
        <v/>
      </c>
      <c r="P27" s="6" t="str">
        <f>IFERROR(VLOOKUP(B27,Control_Library!$A$2:$E$11,2,FALSE),"")</f>
        <v/>
      </c>
      <c r="Q27" s="6" t="str">
        <f>IFERROR(VLOOKUP(B27,Control_Library!$A$2:$E$11,3,FALSE),"")</f>
        <v/>
      </c>
      <c r="R27" s="6" t="str">
        <f>IFERROR(VLOOKUP(B27,Control_Library!$A$2:$E$11,4,FALSE),"")</f>
        <v/>
      </c>
      <c r="S27" s="6" t="str">
        <f>IFERROR(VLOOKUP(B27,Control_Library!$A$2:$E$11,5,FALSE),"")</f>
        <v/>
      </c>
      <c r="T27" s="7"/>
      <c r="U27" s="8"/>
      <c r="V27" s="7"/>
      <c r="W27" s="7"/>
    </row>
    <row r="28" spans="1:23" x14ac:dyDescent="0.35">
      <c r="A28" s="6" t="str">
        <f t="shared" si="0"/>
        <v/>
      </c>
      <c r="B28" s="7"/>
      <c r="C28" s="7"/>
      <c r="D28" s="7"/>
      <c r="E28" s="7"/>
      <c r="F28" s="7"/>
      <c r="G28" s="7"/>
      <c r="H28" s="7"/>
      <c r="I28" s="6" t="str">
        <f t="shared" si="1"/>
        <v/>
      </c>
      <c r="J28" s="6" t="str">
        <f t="shared" si="2"/>
        <v/>
      </c>
      <c r="K28" s="7"/>
      <c r="L28" s="6" t="str">
        <f t="shared" si="3"/>
        <v/>
      </c>
      <c r="M28" s="6" t="str">
        <f t="shared" si="4"/>
        <v/>
      </c>
      <c r="N28" s="6" t="str">
        <f t="shared" si="5"/>
        <v/>
      </c>
      <c r="O28" s="6" t="str">
        <f t="shared" si="6"/>
        <v/>
      </c>
      <c r="P28" s="6" t="str">
        <f>IFERROR(VLOOKUP(B28,Control_Library!$A$2:$E$11,2,FALSE),"")</f>
        <v/>
      </c>
      <c r="Q28" s="6" t="str">
        <f>IFERROR(VLOOKUP(B28,Control_Library!$A$2:$E$11,3,FALSE),"")</f>
        <v/>
      </c>
      <c r="R28" s="6" t="str">
        <f>IFERROR(VLOOKUP(B28,Control_Library!$A$2:$E$11,4,FALSE),"")</f>
        <v/>
      </c>
      <c r="S28" s="6" t="str">
        <f>IFERROR(VLOOKUP(B28,Control_Library!$A$2:$E$11,5,FALSE),"")</f>
        <v/>
      </c>
      <c r="T28" s="7"/>
      <c r="U28" s="8"/>
      <c r="V28" s="7"/>
      <c r="W28" s="7"/>
    </row>
    <row r="29" spans="1:23" x14ac:dyDescent="0.35">
      <c r="A29" s="6" t="str">
        <f t="shared" si="0"/>
        <v/>
      </c>
      <c r="B29" s="7"/>
      <c r="C29" s="7"/>
      <c r="D29" s="7"/>
      <c r="E29" s="7"/>
      <c r="F29" s="7"/>
      <c r="G29" s="7"/>
      <c r="H29" s="7"/>
      <c r="I29" s="6" t="str">
        <f t="shared" si="1"/>
        <v/>
      </c>
      <c r="J29" s="6" t="str">
        <f t="shared" si="2"/>
        <v/>
      </c>
      <c r="K29" s="7"/>
      <c r="L29" s="6" t="str">
        <f t="shared" si="3"/>
        <v/>
      </c>
      <c r="M29" s="6" t="str">
        <f t="shared" si="4"/>
        <v/>
      </c>
      <c r="N29" s="6" t="str">
        <f t="shared" si="5"/>
        <v/>
      </c>
      <c r="O29" s="6" t="str">
        <f t="shared" si="6"/>
        <v/>
      </c>
      <c r="P29" s="6" t="str">
        <f>IFERROR(VLOOKUP(B29,Control_Library!$A$2:$E$11,2,FALSE),"")</f>
        <v/>
      </c>
      <c r="Q29" s="6" t="str">
        <f>IFERROR(VLOOKUP(B29,Control_Library!$A$2:$E$11,3,FALSE),"")</f>
        <v/>
      </c>
      <c r="R29" s="6" t="str">
        <f>IFERROR(VLOOKUP(B29,Control_Library!$A$2:$E$11,4,FALSE),"")</f>
        <v/>
      </c>
      <c r="S29" s="6" t="str">
        <f>IFERROR(VLOOKUP(B29,Control_Library!$A$2:$E$11,5,FALSE),"")</f>
        <v/>
      </c>
      <c r="T29" s="7"/>
      <c r="U29" s="8"/>
      <c r="V29" s="7"/>
      <c r="W29" s="7"/>
    </row>
    <row r="30" spans="1:23" x14ac:dyDescent="0.35">
      <c r="A30" s="6" t="str">
        <f t="shared" si="0"/>
        <v/>
      </c>
      <c r="B30" s="7"/>
      <c r="C30" s="7"/>
      <c r="D30" s="7"/>
      <c r="E30" s="7"/>
      <c r="F30" s="7"/>
      <c r="G30" s="7"/>
      <c r="H30" s="7"/>
      <c r="I30" s="6" t="str">
        <f t="shared" si="1"/>
        <v/>
      </c>
      <c r="J30" s="6" t="str">
        <f t="shared" si="2"/>
        <v/>
      </c>
      <c r="K30" s="7"/>
      <c r="L30" s="6" t="str">
        <f t="shared" si="3"/>
        <v/>
      </c>
      <c r="M30" s="6" t="str">
        <f t="shared" si="4"/>
        <v/>
      </c>
      <c r="N30" s="6" t="str">
        <f t="shared" si="5"/>
        <v/>
      </c>
      <c r="O30" s="6" t="str">
        <f t="shared" si="6"/>
        <v/>
      </c>
      <c r="P30" s="6" t="str">
        <f>IFERROR(VLOOKUP(B30,Control_Library!$A$2:$E$11,2,FALSE),"")</f>
        <v/>
      </c>
      <c r="Q30" s="6" t="str">
        <f>IFERROR(VLOOKUP(B30,Control_Library!$A$2:$E$11,3,FALSE),"")</f>
        <v/>
      </c>
      <c r="R30" s="6" t="str">
        <f>IFERROR(VLOOKUP(B30,Control_Library!$A$2:$E$11,4,FALSE),"")</f>
        <v/>
      </c>
      <c r="S30" s="6" t="str">
        <f>IFERROR(VLOOKUP(B30,Control_Library!$A$2:$E$11,5,FALSE),"")</f>
        <v/>
      </c>
      <c r="T30" s="7"/>
      <c r="U30" s="8"/>
      <c r="V30" s="7"/>
      <c r="W30" s="7"/>
    </row>
    <row r="31" spans="1:23" x14ac:dyDescent="0.35">
      <c r="A31" s="6" t="str">
        <f t="shared" si="0"/>
        <v/>
      </c>
      <c r="B31" s="7"/>
      <c r="C31" s="7"/>
      <c r="D31" s="7"/>
      <c r="E31" s="7"/>
      <c r="F31" s="7"/>
      <c r="G31" s="7"/>
      <c r="H31" s="7"/>
      <c r="I31" s="6" t="str">
        <f t="shared" si="1"/>
        <v/>
      </c>
      <c r="J31" s="6" t="str">
        <f t="shared" si="2"/>
        <v/>
      </c>
      <c r="K31" s="7"/>
      <c r="L31" s="6" t="str">
        <f t="shared" si="3"/>
        <v/>
      </c>
      <c r="M31" s="6" t="str">
        <f t="shared" si="4"/>
        <v/>
      </c>
      <c r="N31" s="6" t="str">
        <f t="shared" si="5"/>
        <v/>
      </c>
      <c r="O31" s="6" t="str">
        <f t="shared" si="6"/>
        <v/>
      </c>
      <c r="P31" s="6" t="str">
        <f>IFERROR(VLOOKUP(B31,Control_Library!$A$2:$E$11,2,FALSE),"")</f>
        <v/>
      </c>
      <c r="Q31" s="6" t="str">
        <f>IFERROR(VLOOKUP(B31,Control_Library!$A$2:$E$11,3,FALSE),"")</f>
        <v/>
      </c>
      <c r="R31" s="6" t="str">
        <f>IFERROR(VLOOKUP(B31,Control_Library!$A$2:$E$11,4,FALSE),"")</f>
        <v/>
      </c>
      <c r="S31" s="6" t="str">
        <f>IFERROR(VLOOKUP(B31,Control_Library!$A$2:$E$11,5,FALSE),"")</f>
        <v/>
      </c>
      <c r="T31" s="7"/>
      <c r="U31" s="8"/>
      <c r="V31" s="7"/>
      <c r="W31" s="7"/>
    </row>
    <row r="32" spans="1:23" x14ac:dyDescent="0.35">
      <c r="A32" s="6" t="str">
        <f t="shared" si="0"/>
        <v/>
      </c>
      <c r="B32" s="7"/>
      <c r="C32" s="7"/>
      <c r="D32" s="7"/>
      <c r="E32" s="7"/>
      <c r="F32" s="7"/>
      <c r="G32" s="7"/>
      <c r="H32" s="7"/>
      <c r="I32" s="6" t="str">
        <f t="shared" si="1"/>
        <v/>
      </c>
      <c r="J32" s="6" t="str">
        <f t="shared" si="2"/>
        <v/>
      </c>
      <c r="K32" s="7"/>
      <c r="L32" s="6" t="str">
        <f t="shared" si="3"/>
        <v/>
      </c>
      <c r="M32" s="6" t="str">
        <f t="shared" si="4"/>
        <v/>
      </c>
      <c r="N32" s="6" t="str">
        <f t="shared" si="5"/>
        <v/>
      </c>
      <c r="O32" s="6" t="str">
        <f t="shared" si="6"/>
        <v/>
      </c>
      <c r="P32" s="6" t="str">
        <f>IFERROR(VLOOKUP(B32,Control_Library!$A$2:$E$11,2,FALSE),"")</f>
        <v/>
      </c>
      <c r="Q32" s="6" t="str">
        <f>IFERROR(VLOOKUP(B32,Control_Library!$A$2:$E$11,3,FALSE),"")</f>
        <v/>
      </c>
      <c r="R32" s="6" t="str">
        <f>IFERROR(VLOOKUP(B32,Control_Library!$A$2:$E$11,4,FALSE),"")</f>
        <v/>
      </c>
      <c r="S32" s="6" t="str">
        <f>IFERROR(VLOOKUP(B32,Control_Library!$A$2:$E$11,5,FALSE),"")</f>
        <v/>
      </c>
      <c r="T32" s="7"/>
      <c r="U32" s="8"/>
      <c r="V32" s="7"/>
      <c r="W32" s="7"/>
    </row>
    <row r="33" spans="1:23" x14ac:dyDescent="0.35">
      <c r="A33" s="6" t="str">
        <f t="shared" si="0"/>
        <v/>
      </c>
      <c r="B33" s="7"/>
      <c r="C33" s="7"/>
      <c r="D33" s="7"/>
      <c r="E33" s="7"/>
      <c r="F33" s="7"/>
      <c r="G33" s="7"/>
      <c r="H33" s="7"/>
      <c r="I33" s="6" t="str">
        <f t="shared" si="1"/>
        <v/>
      </c>
      <c r="J33" s="6" t="str">
        <f t="shared" si="2"/>
        <v/>
      </c>
      <c r="K33" s="7"/>
      <c r="L33" s="6" t="str">
        <f t="shared" si="3"/>
        <v/>
      </c>
      <c r="M33" s="6" t="str">
        <f t="shared" si="4"/>
        <v/>
      </c>
      <c r="N33" s="6" t="str">
        <f t="shared" si="5"/>
        <v/>
      </c>
      <c r="O33" s="6" t="str">
        <f t="shared" si="6"/>
        <v/>
      </c>
      <c r="P33" s="6" t="str">
        <f>IFERROR(VLOOKUP(B33,Control_Library!$A$2:$E$11,2,FALSE),"")</f>
        <v/>
      </c>
      <c r="Q33" s="6" t="str">
        <f>IFERROR(VLOOKUP(B33,Control_Library!$A$2:$E$11,3,FALSE),"")</f>
        <v/>
      </c>
      <c r="R33" s="6" t="str">
        <f>IFERROR(VLOOKUP(B33,Control_Library!$A$2:$E$11,4,FALSE),"")</f>
        <v/>
      </c>
      <c r="S33" s="6" t="str">
        <f>IFERROR(VLOOKUP(B33,Control_Library!$A$2:$E$11,5,FALSE),"")</f>
        <v/>
      </c>
      <c r="T33" s="7"/>
      <c r="U33" s="8"/>
      <c r="V33" s="7"/>
      <c r="W33" s="7"/>
    </row>
    <row r="34" spans="1:23" x14ac:dyDescent="0.35">
      <c r="A34" s="6" t="str">
        <f t="shared" ref="A34:A65" si="7">IF(B34="","","R-"&amp;TEXT(ROW()-1,"000"))</f>
        <v/>
      </c>
      <c r="B34" s="7"/>
      <c r="C34" s="7"/>
      <c r="D34" s="7"/>
      <c r="E34" s="7"/>
      <c r="F34" s="7"/>
      <c r="G34" s="7"/>
      <c r="H34" s="7"/>
      <c r="I34" s="6" t="str">
        <f t="shared" ref="I34:I65" si="8">IF(OR(G34="",H34=""),"",G34*H34)</f>
        <v/>
      </c>
      <c r="J34" s="6" t="str">
        <f t="shared" ref="J34:J65" si="9">IF(I34="","",IF(I34&gt;=15,"High",IF(I34&gt;=8,"Medium","Low")))</f>
        <v/>
      </c>
      <c r="K34" s="7"/>
      <c r="L34" s="6" t="str">
        <f t="shared" ref="L34:L65" si="10">IF(OR(G34="",K34=""),"",MAX(1,G34-ROUND(K34/2,0)))</f>
        <v/>
      </c>
      <c r="M34" s="6" t="str">
        <f t="shared" ref="M34:M61" si="11">IF(OR(H34="",K34=""),"",MAX(1,H34-ROUND(K34/3,0)))</f>
        <v/>
      </c>
      <c r="N34" s="6" t="str">
        <f t="shared" ref="N34:N65" si="12">IF(OR(L34="",M34=""),"",L34*M34)</f>
        <v/>
      </c>
      <c r="O34" s="6" t="str">
        <f t="shared" ref="O34:O65" si="13">IF(N34="","",IF(N34&gt;=15,"High",IF(N34&gt;=8,"Medium","Low")))</f>
        <v/>
      </c>
      <c r="P34" s="6" t="str">
        <f>IFERROR(VLOOKUP(B34,Control_Library!$A$2:$E$11,2,FALSE),"")</f>
        <v/>
      </c>
      <c r="Q34" s="6" t="str">
        <f>IFERROR(VLOOKUP(B34,Control_Library!$A$2:$E$11,3,FALSE),"")</f>
        <v/>
      </c>
      <c r="R34" s="6" t="str">
        <f>IFERROR(VLOOKUP(B34,Control_Library!$A$2:$E$11,4,FALSE),"")</f>
        <v/>
      </c>
      <c r="S34" s="6" t="str">
        <f>IFERROR(VLOOKUP(B34,Control_Library!$A$2:$E$11,5,FALSE),"")</f>
        <v/>
      </c>
      <c r="T34" s="7"/>
      <c r="U34" s="8"/>
      <c r="V34" s="7"/>
      <c r="W34" s="7"/>
    </row>
    <row r="35" spans="1:23" x14ac:dyDescent="0.35">
      <c r="A35" s="6" t="str">
        <f t="shared" si="7"/>
        <v/>
      </c>
      <c r="B35" s="7"/>
      <c r="C35" s="7"/>
      <c r="D35" s="7"/>
      <c r="E35" s="7"/>
      <c r="F35" s="7"/>
      <c r="G35" s="7"/>
      <c r="H35" s="7"/>
      <c r="I35" s="6" t="str">
        <f t="shared" si="8"/>
        <v/>
      </c>
      <c r="J35" s="6" t="str">
        <f t="shared" si="9"/>
        <v/>
      </c>
      <c r="K35" s="7"/>
      <c r="L35" s="6" t="str">
        <f t="shared" si="10"/>
        <v/>
      </c>
      <c r="M35" s="6" t="str">
        <f t="shared" si="11"/>
        <v/>
      </c>
      <c r="N35" s="6" t="str">
        <f t="shared" si="12"/>
        <v/>
      </c>
      <c r="O35" s="6" t="str">
        <f t="shared" si="13"/>
        <v/>
      </c>
      <c r="P35" s="6" t="str">
        <f>IFERROR(VLOOKUP(B35,Control_Library!$A$2:$E$11,2,FALSE),"")</f>
        <v/>
      </c>
      <c r="Q35" s="6" t="str">
        <f>IFERROR(VLOOKUP(B35,Control_Library!$A$2:$E$11,3,FALSE),"")</f>
        <v/>
      </c>
      <c r="R35" s="6" t="str">
        <f>IFERROR(VLOOKUP(B35,Control_Library!$A$2:$E$11,4,FALSE),"")</f>
        <v/>
      </c>
      <c r="S35" s="6" t="str">
        <f>IFERROR(VLOOKUP(B35,Control_Library!$A$2:$E$11,5,FALSE),"")</f>
        <v/>
      </c>
      <c r="T35" s="7"/>
      <c r="U35" s="8"/>
      <c r="V35" s="7"/>
      <c r="W35" s="7"/>
    </row>
    <row r="36" spans="1:23" x14ac:dyDescent="0.35">
      <c r="A36" s="6" t="str">
        <f t="shared" si="7"/>
        <v/>
      </c>
      <c r="B36" s="7"/>
      <c r="C36" s="7"/>
      <c r="D36" s="7"/>
      <c r="E36" s="7"/>
      <c r="F36" s="7"/>
      <c r="G36" s="7"/>
      <c r="H36" s="7"/>
      <c r="I36" s="6" t="str">
        <f t="shared" si="8"/>
        <v/>
      </c>
      <c r="J36" s="6" t="str">
        <f t="shared" si="9"/>
        <v/>
      </c>
      <c r="K36" s="7"/>
      <c r="L36" s="6" t="str">
        <f t="shared" si="10"/>
        <v/>
      </c>
      <c r="M36" s="6" t="str">
        <f t="shared" si="11"/>
        <v/>
      </c>
      <c r="N36" s="6" t="str">
        <f t="shared" si="12"/>
        <v/>
      </c>
      <c r="O36" s="6" t="str">
        <f t="shared" si="13"/>
        <v/>
      </c>
      <c r="P36" s="6" t="str">
        <f>IFERROR(VLOOKUP(B36,Control_Library!$A$2:$E$11,2,FALSE),"")</f>
        <v/>
      </c>
      <c r="Q36" s="6" t="str">
        <f>IFERROR(VLOOKUP(B36,Control_Library!$A$2:$E$11,3,FALSE),"")</f>
        <v/>
      </c>
      <c r="R36" s="6" t="str">
        <f>IFERROR(VLOOKUP(B36,Control_Library!$A$2:$E$11,4,FALSE),"")</f>
        <v/>
      </c>
      <c r="S36" s="6" t="str">
        <f>IFERROR(VLOOKUP(B36,Control_Library!$A$2:$E$11,5,FALSE),"")</f>
        <v/>
      </c>
      <c r="T36" s="7"/>
      <c r="U36" s="8"/>
      <c r="V36" s="7"/>
      <c r="W36" s="7"/>
    </row>
    <row r="37" spans="1:23" x14ac:dyDescent="0.35">
      <c r="A37" s="6" t="str">
        <f t="shared" si="7"/>
        <v/>
      </c>
      <c r="B37" s="7"/>
      <c r="C37" s="7"/>
      <c r="D37" s="7"/>
      <c r="E37" s="7"/>
      <c r="F37" s="7"/>
      <c r="G37" s="7"/>
      <c r="H37" s="7"/>
      <c r="I37" s="6" t="str">
        <f t="shared" si="8"/>
        <v/>
      </c>
      <c r="J37" s="6" t="str">
        <f t="shared" si="9"/>
        <v/>
      </c>
      <c r="K37" s="7"/>
      <c r="L37" s="6" t="str">
        <f t="shared" si="10"/>
        <v/>
      </c>
      <c r="M37" s="6" t="str">
        <f t="shared" si="11"/>
        <v/>
      </c>
      <c r="N37" s="6" t="str">
        <f t="shared" si="12"/>
        <v/>
      </c>
      <c r="O37" s="6" t="str">
        <f t="shared" si="13"/>
        <v/>
      </c>
      <c r="P37" s="6" t="str">
        <f>IFERROR(VLOOKUP(B37,Control_Library!$A$2:$E$11,2,FALSE),"")</f>
        <v/>
      </c>
      <c r="Q37" s="6" t="str">
        <f>IFERROR(VLOOKUP(B37,Control_Library!$A$2:$E$11,3,FALSE),"")</f>
        <v/>
      </c>
      <c r="R37" s="6" t="str">
        <f>IFERROR(VLOOKUP(B37,Control_Library!$A$2:$E$11,4,FALSE),"")</f>
        <v/>
      </c>
      <c r="S37" s="6" t="str">
        <f>IFERROR(VLOOKUP(B37,Control_Library!$A$2:$E$11,5,FALSE),"")</f>
        <v/>
      </c>
      <c r="T37" s="7"/>
      <c r="U37" s="8"/>
      <c r="V37" s="7"/>
      <c r="W37" s="7"/>
    </row>
    <row r="38" spans="1:23" x14ac:dyDescent="0.35">
      <c r="A38" s="6" t="str">
        <f t="shared" si="7"/>
        <v/>
      </c>
      <c r="B38" s="7"/>
      <c r="C38" s="7"/>
      <c r="D38" s="7"/>
      <c r="E38" s="7"/>
      <c r="F38" s="7"/>
      <c r="G38" s="7"/>
      <c r="H38" s="7"/>
      <c r="I38" s="6" t="str">
        <f t="shared" si="8"/>
        <v/>
      </c>
      <c r="J38" s="6" t="str">
        <f t="shared" si="9"/>
        <v/>
      </c>
      <c r="K38" s="7"/>
      <c r="L38" s="6" t="str">
        <f t="shared" si="10"/>
        <v/>
      </c>
      <c r="M38" s="6" t="str">
        <f t="shared" si="11"/>
        <v/>
      </c>
      <c r="N38" s="6" t="str">
        <f t="shared" si="12"/>
        <v/>
      </c>
      <c r="O38" s="6" t="str">
        <f t="shared" si="13"/>
        <v/>
      </c>
      <c r="P38" s="6" t="str">
        <f>IFERROR(VLOOKUP(B38,Control_Library!$A$2:$E$11,2,FALSE),"")</f>
        <v/>
      </c>
      <c r="Q38" s="6" t="str">
        <f>IFERROR(VLOOKUP(B38,Control_Library!$A$2:$E$11,3,FALSE),"")</f>
        <v/>
      </c>
      <c r="R38" s="6" t="str">
        <f>IFERROR(VLOOKUP(B38,Control_Library!$A$2:$E$11,4,FALSE),"")</f>
        <v/>
      </c>
      <c r="S38" s="6" t="str">
        <f>IFERROR(VLOOKUP(B38,Control_Library!$A$2:$E$11,5,FALSE),"")</f>
        <v/>
      </c>
      <c r="T38" s="7"/>
      <c r="U38" s="8"/>
      <c r="V38" s="7"/>
      <c r="W38" s="7"/>
    </row>
    <row r="39" spans="1:23" x14ac:dyDescent="0.35">
      <c r="A39" s="6" t="str">
        <f t="shared" si="7"/>
        <v/>
      </c>
      <c r="B39" s="7"/>
      <c r="C39" s="7"/>
      <c r="D39" s="7"/>
      <c r="E39" s="7"/>
      <c r="F39" s="7"/>
      <c r="G39" s="7"/>
      <c r="H39" s="7"/>
      <c r="I39" s="6" t="str">
        <f t="shared" si="8"/>
        <v/>
      </c>
      <c r="J39" s="6" t="str">
        <f t="shared" si="9"/>
        <v/>
      </c>
      <c r="K39" s="7"/>
      <c r="L39" s="6" t="str">
        <f t="shared" si="10"/>
        <v/>
      </c>
      <c r="M39" s="6" t="str">
        <f t="shared" si="11"/>
        <v/>
      </c>
      <c r="N39" s="6" t="str">
        <f t="shared" si="12"/>
        <v/>
      </c>
      <c r="O39" s="6" t="str">
        <f t="shared" si="13"/>
        <v/>
      </c>
      <c r="P39" s="6" t="str">
        <f>IFERROR(VLOOKUP(B39,Control_Library!$A$2:$E$11,2,FALSE),"")</f>
        <v/>
      </c>
      <c r="Q39" s="6" t="str">
        <f>IFERROR(VLOOKUP(B39,Control_Library!$A$2:$E$11,3,FALSE),"")</f>
        <v/>
      </c>
      <c r="R39" s="6" t="str">
        <f>IFERROR(VLOOKUP(B39,Control_Library!$A$2:$E$11,4,FALSE),"")</f>
        <v/>
      </c>
      <c r="S39" s="6" t="str">
        <f>IFERROR(VLOOKUP(B39,Control_Library!$A$2:$E$11,5,FALSE),"")</f>
        <v/>
      </c>
      <c r="T39" s="7"/>
      <c r="U39" s="8"/>
      <c r="V39" s="7"/>
      <c r="W39" s="7"/>
    </row>
    <row r="40" spans="1:23" x14ac:dyDescent="0.35">
      <c r="A40" s="6" t="str">
        <f t="shared" si="7"/>
        <v/>
      </c>
      <c r="B40" s="7"/>
      <c r="C40" s="7"/>
      <c r="D40" s="7"/>
      <c r="E40" s="7"/>
      <c r="F40" s="7"/>
      <c r="G40" s="7"/>
      <c r="H40" s="7"/>
      <c r="I40" s="6" t="str">
        <f t="shared" si="8"/>
        <v/>
      </c>
      <c r="J40" s="6" t="str">
        <f t="shared" si="9"/>
        <v/>
      </c>
      <c r="K40" s="7"/>
      <c r="L40" s="6" t="str">
        <f t="shared" si="10"/>
        <v/>
      </c>
      <c r="M40" s="6" t="str">
        <f t="shared" si="11"/>
        <v/>
      </c>
      <c r="N40" s="6" t="str">
        <f t="shared" si="12"/>
        <v/>
      </c>
      <c r="O40" s="6" t="str">
        <f t="shared" si="13"/>
        <v/>
      </c>
      <c r="P40" s="6" t="str">
        <f>IFERROR(VLOOKUP(B40,Control_Library!$A$2:$E$11,2,FALSE),"")</f>
        <v/>
      </c>
      <c r="Q40" s="6" t="str">
        <f>IFERROR(VLOOKUP(B40,Control_Library!$A$2:$E$11,3,FALSE),"")</f>
        <v/>
      </c>
      <c r="R40" s="6" t="str">
        <f>IFERROR(VLOOKUP(B40,Control_Library!$A$2:$E$11,4,FALSE),"")</f>
        <v/>
      </c>
      <c r="S40" s="6" t="str">
        <f>IFERROR(VLOOKUP(B40,Control_Library!$A$2:$E$11,5,FALSE),"")</f>
        <v/>
      </c>
      <c r="T40" s="7"/>
      <c r="U40" s="8"/>
      <c r="V40" s="7"/>
      <c r="W40" s="7"/>
    </row>
    <row r="41" spans="1:23" x14ac:dyDescent="0.35">
      <c r="A41" s="6" t="str">
        <f t="shared" si="7"/>
        <v/>
      </c>
      <c r="B41" s="7"/>
      <c r="C41" s="7"/>
      <c r="D41" s="7"/>
      <c r="E41" s="7"/>
      <c r="F41" s="7"/>
      <c r="G41" s="7"/>
      <c r="H41" s="7"/>
      <c r="I41" s="6" t="str">
        <f t="shared" si="8"/>
        <v/>
      </c>
      <c r="J41" s="6" t="str">
        <f t="shared" si="9"/>
        <v/>
      </c>
      <c r="K41" s="7"/>
      <c r="L41" s="6" t="str">
        <f t="shared" si="10"/>
        <v/>
      </c>
      <c r="M41" s="6" t="str">
        <f t="shared" si="11"/>
        <v/>
      </c>
      <c r="N41" s="6" t="str">
        <f t="shared" si="12"/>
        <v/>
      </c>
      <c r="O41" s="6" t="str">
        <f t="shared" si="13"/>
        <v/>
      </c>
      <c r="P41" s="6" t="str">
        <f>IFERROR(VLOOKUP(B41,Control_Library!$A$2:$E$11,2,FALSE),"")</f>
        <v/>
      </c>
      <c r="Q41" s="6" t="str">
        <f>IFERROR(VLOOKUP(B41,Control_Library!$A$2:$E$11,3,FALSE),"")</f>
        <v/>
      </c>
      <c r="R41" s="6" t="str">
        <f>IFERROR(VLOOKUP(B41,Control_Library!$A$2:$E$11,4,FALSE),"")</f>
        <v/>
      </c>
      <c r="S41" s="6" t="str">
        <f>IFERROR(VLOOKUP(B41,Control_Library!$A$2:$E$11,5,FALSE),"")</f>
        <v/>
      </c>
      <c r="T41" s="7"/>
      <c r="U41" s="8"/>
      <c r="V41" s="7"/>
      <c r="W41" s="7"/>
    </row>
    <row r="42" spans="1:23" x14ac:dyDescent="0.35">
      <c r="A42" s="6" t="str">
        <f t="shared" si="7"/>
        <v/>
      </c>
      <c r="B42" s="7"/>
      <c r="C42" s="7"/>
      <c r="D42" s="7"/>
      <c r="E42" s="7"/>
      <c r="F42" s="7"/>
      <c r="G42" s="7"/>
      <c r="H42" s="7"/>
      <c r="I42" s="6" t="str">
        <f t="shared" si="8"/>
        <v/>
      </c>
      <c r="J42" s="6" t="str">
        <f t="shared" si="9"/>
        <v/>
      </c>
      <c r="K42" s="7"/>
      <c r="L42" s="6" t="str">
        <f t="shared" si="10"/>
        <v/>
      </c>
      <c r="M42" s="6" t="str">
        <f t="shared" si="11"/>
        <v/>
      </c>
      <c r="N42" s="6" t="str">
        <f t="shared" si="12"/>
        <v/>
      </c>
      <c r="O42" s="6" t="str">
        <f t="shared" si="13"/>
        <v/>
      </c>
      <c r="P42" s="6" t="str">
        <f>IFERROR(VLOOKUP(B42,Control_Library!$A$2:$E$11,2,FALSE),"")</f>
        <v/>
      </c>
      <c r="Q42" s="6" t="str">
        <f>IFERROR(VLOOKUP(B42,Control_Library!$A$2:$E$11,3,FALSE),"")</f>
        <v/>
      </c>
      <c r="R42" s="6" t="str">
        <f>IFERROR(VLOOKUP(B42,Control_Library!$A$2:$E$11,4,FALSE),"")</f>
        <v/>
      </c>
      <c r="S42" s="6" t="str">
        <f>IFERROR(VLOOKUP(B42,Control_Library!$A$2:$E$11,5,FALSE),"")</f>
        <v/>
      </c>
      <c r="T42" s="7"/>
      <c r="U42" s="8"/>
      <c r="V42" s="7"/>
      <c r="W42" s="7"/>
    </row>
    <row r="43" spans="1:23" x14ac:dyDescent="0.35">
      <c r="A43" s="6" t="str">
        <f t="shared" si="7"/>
        <v/>
      </c>
      <c r="B43" s="7"/>
      <c r="C43" s="7"/>
      <c r="D43" s="7"/>
      <c r="E43" s="7"/>
      <c r="F43" s="7"/>
      <c r="G43" s="7"/>
      <c r="H43" s="7"/>
      <c r="I43" s="6" t="str">
        <f t="shared" si="8"/>
        <v/>
      </c>
      <c r="J43" s="6" t="str">
        <f t="shared" si="9"/>
        <v/>
      </c>
      <c r="K43" s="7"/>
      <c r="L43" s="6" t="str">
        <f t="shared" si="10"/>
        <v/>
      </c>
      <c r="M43" s="6" t="str">
        <f t="shared" si="11"/>
        <v/>
      </c>
      <c r="N43" s="6" t="str">
        <f t="shared" si="12"/>
        <v/>
      </c>
      <c r="O43" s="6" t="str">
        <f t="shared" si="13"/>
        <v/>
      </c>
      <c r="P43" s="6" t="str">
        <f>IFERROR(VLOOKUP(B43,Control_Library!$A$2:$E$11,2,FALSE),"")</f>
        <v/>
      </c>
      <c r="Q43" s="6" t="str">
        <f>IFERROR(VLOOKUP(B43,Control_Library!$A$2:$E$11,3,FALSE),"")</f>
        <v/>
      </c>
      <c r="R43" s="6" t="str">
        <f>IFERROR(VLOOKUP(B43,Control_Library!$A$2:$E$11,4,FALSE),"")</f>
        <v/>
      </c>
      <c r="S43" s="6" t="str">
        <f>IFERROR(VLOOKUP(B43,Control_Library!$A$2:$E$11,5,FALSE),"")</f>
        <v/>
      </c>
      <c r="T43" s="7"/>
      <c r="U43" s="8"/>
      <c r="V43" s="7"/>
      <c r="W43" s="7"/>
    </row>
    <row r="44" spans="1:23" x14ac:dyDescent="0.35">
      <c r="A44" s="6" t="str">
        <f t="shared" si="7"/>
        <v/>
      </c>
      <c r="B44" s="7"/>
      <c r="C44" s="7"/>
      <c r="D44" s="7"/>
      <c r="E44" s="7"/>
      <c r="F44" s="7"/>
      <c r="G44" s="7"/>
      <c r="H44" s="7"/>
      <c r="I44" s="6" t="str">
        <f t="shared" si="8"/>
        <v/>
      </c>
      <c r="J44" s="6" t="str">
        <f t="shared" si="9"/>
        <v/>
      </c>
      <c r="K44" s="7"/>
      <c r="L44" s="6" t="str">
        <f t="shared" si="10"/>
        <v/>
      </c>
      <c r="M44" s="6" t="str">
        <f t="shared" si="11"/>
        <v/>
      </c>
      <c r="N44" s="6" t="str">
        <f t="shared" si="12"/>
        <v/>
      </c>
      <c r="O44" s="6" t="str">
        <f t="shared" si="13"/>
        <v/>
      </c>
      <c r="P44" s="6" t="str">
        <f>IFERROR(VLOOKUP(B44,Control_Library!$A$2:$E$11,2,FALSE),"")</f>
        <v/>
      </c>
      <c r="Q44" s="6" t="str">
        <f>IFERROR(VLOOKUP(B44,Control_Library!$A$2:$E$11,3,FALSE),"")</f>
        <v/>
      </c>
      <c r="R44" s="6" t="str">
        <f>IFERROR(VLOOKUP(B44,Control_Library!$A$2:$E$11,4,FALSE),"")</f>
        <v/>
      </c>
      <c r="S44" s="6" t="str">
        <f>IFERROR(VLOOKUP(B44,Control_Library!$A$2:$E$11,5,FALSE),"")</f>
        <v/>
      </c>
      <c r="T44" s="7"/>
      <c r="U44" s="8"/>
      <c r="V44" s="7"/>
      <c r="W44" s="7"/>
    </row>
    <row r="45" spans="1:23" x14ac:dyDescent="0.35">
      <c r="A45" s="6" t="str">
        <f t="shared" si="7"/>
        <v/>
      </c>
      <c r="B45" s="7"/>
      <c r="C45" s="7"/>
      <c r="D45" s="7"/>
      <c r="E45" s="7"/>
      <c r="F45" s="7"/>
      <c r="G45" s="7"/>
      <c r="H45" s="7"/>
      <c r="I45" s="6" t="str">
        <f t="shared" si="8"/>
        <v/>
      </c>
      <c r="J45" s="6" t="str">
        <f t="shared" si="9"/>
        <v/>
      </c>
      <c r="K45" s="7"/>
      <c r="L45" s="6" t="str">
        <f t="shared" si="10"/>
        <v/>
      </c>
      <c r="M45" s="6" t="str">
        <f t="shared" si="11"/>
        <v/>
      </c>
      <c r="N45" s="6" t="str">
        <f t="shared" si="12"/>
        <v/>
      </c>
      <c r="O45" s="6" t="str">
        <f t="shared" si="13"/>
        <v/>
      </c>
      <c r="P45" s="6" t="str">
        <f>IFERROR(VLOOKUP(B45,Control_Library!$A$2:$E$11,2,FALSE),"")</f>
        <v/>
      </c>
      <c r="Q45" s="6" t="str">
        <f>IFERROR(VLOOKUP(B45,Control_Library!$A$2:$E$11,3,FALSE),"")</f>
        <v/>
      </c>
      <c r="R45" s="6" t="str">
        <f>IFERROR(VLOOKUP(B45,Control_Library!$A$2:$E$11,4,FALSE),"")</f>
        <v/>
      </c>
      <c r="S45" s="6" t="str">
        <f>IFERROR(VLOOKUP(B45,Control_Library!$A$2:$E$11,5,FALSE),"")</f>
        <v/>
      </c>
      <c r="T45" s="7"/>
      <c r="U45" s="8"/>
      <c r="V45" s="7"/>
      <c r="W45" s="7"/>
    </row>
    <row r="46" spans="1:23" x14ac:dyDescent="0.35">
      <c r="A46" s="6" t="str">
        <f t="shared" si="7"/>
        <v/>
      </c>
      <c r="B46" s="7"/>
      <c r="C46" s="7"/>
      <c r="D46" s="7"/>
      <c r="E46" s="7"/>
      <c r="F46" s="7"/>
      <c r="G46" s="7"/>
      <c r="H46" s="7"/>
      <c r="I46" s="6" t="str">
        <f t="shared" si="8"/>
        <v/>
      </c>
      <c r="J46" s="6" t="str">
        <f t="shared" si="9"/>
        <v/>
      </c>
      <c r="K46" s="7"/>
      <c r="L46" s="6" t="str">
        <f t="shared" si="10"/>
        <v/>
      </c>
      <c r="M46" s="6" t="str">
        <f t="shared" si="11"/>
        <v/>
      </c>
      <c r="N46" s="6" t="str">
        <f t="shared" si="12"/>
        <v/>
      </c>
      <c r="O46" s="6" t="str">
        <f t="shared" si="13"/>
        <v/>
      </c>
      <c r="P46" s="6" t="str">
        <f>IFERROR(VLOOKUP(B46,Control_Library!$A$2:$E$11,2,FALSE),"")</f>
        <v/>
      </c>
      <c r="Q46" s="6" t="str">
        <f>IFERROR(VLOOKUP(B46,Control_Library!$A$2:$E$11,3,FALSE),"")</f>
        <v/>
      </c>
      <c r="R46" s="6" t="str">
        <f>IFERROR(VLOOKUP(B46,Control_Library!$A$2:$E$11,4,FALSE),"")</f>
        <v/>
      </c>
      <c r="S46" s="6" t="str">
        <f>IFERROR(VLOOKUP(B46,Control_Library!$A$2:$E$11,5,FALSE),"")</f>
        <v/>
      </c>
      <c r="T46" s="7"/>
      <c r="U46" s="8"/>
      <c r="V46" s="7"/>
      <c r="W46" s="7"/>
    </row>
    <row r="47" spans="1:23" x14ac:dyDescent="0.35">
      <c r="A47" s="6" t="str">
        <f t="shared" si="7"/>
        <v/>
      </c>
      <c r="B47" s="7"/>
      <c r="C47" s="7"/>
      <c r="D47" s="7"/>
      <c r="E47" s="7"/>
      <c r="F47" s="7"/>
      <c r="G47" s="7"/>
      <c r="H47" s="7"/>
      <c r="I47" s="6" t="str">
        <f t="shared" si="8"/>
        <v/>
      </c>
      <c r="J47" s="6" t="str">
        <f t="shared" si="9"/>
        <v/>
      </c>
      <c r="K47" s="7"/>
      <c r="L47" s="6" t="str">
        <f t="shared" si="10"/>
        <v/>
      </c>
      <c r="M47" s="6" t="str">
        <f t="shared" si="11"/>
        <v/>
      </c>
      <c r="N47" s="6" t="str">
        <f t="shared" si="12"/>
        <v/>
      </c>
      <c r="O47" s="6" t="str">
        <f t="shared" si="13"/>
        <v/>
      </c>
      <c r="P47" s="6" t="str">
        <f>IFERROR(VLOOKUP(B47,Control_Library!$A$2:$E$11,2,FALSE),"")</f>
        <v/>
      </c>
      <c r="Q47" s="6" t="str">
        <f>IFERROR(VLOOKUP(B47,Control_Library!$A$2:$E$11,3,FALSE),"")</f>
        <v/>
      </c>
      <c r="R47" s="6" t="str">
        <f>IFERROR(VLOOKUP(B47,Control_Library!$A$2:$E$11,4,FALSE),"")</f>
        <v/>
      </c>
      <c r="S47" s="6" t="str">
        <f>IFERROR(VLOOKUP(B47,Control_Library!$A$2:$E$11,5,FALSE),"")</f>
        <v/>
      </c>
      <c r="T47" s="7"/>
      <c r="U47" s="8"/>
      <c r="V47" s="7"/>
      <c r="W47" s="7"/>
    </row>
    <row r="48" spans="1:23" x14ac:dyDescent="0.35">
      <c r="A48" s="6" t="str">
        <f t="shared" si="7"/>
        <v/>
      </c>
      <c r="B48" s="7"/>
      <c r="C48" s="7"/>
      <c r="D48" s="7"/>
      <c r="E48" s="7"/>
      <c r="F48" s="7"/>
      <c r="G48" s="7"/>
      <c r="H48" s="7"/>
      <c r="I48" s="6" t="str">
        <f t="shared" si="8"/>
        <v/>
      </c>
      <c r="J48" s="6" t="str">
        <f t="shared" si="9"/>
        <v/>
      </c>
      <c r="K48" s="7"/>
      <c r="L48" s="6" t="str">
        <f t="shared" si="10"/>
        <v/>
      </c>
      <c r="M48" s="6" t="str">
        <f t="shared" si="11"/>
        <v/>
      </c>
      <c r="N48" s="6" t="str">
        <f t="shared" si="12"/>
        <v/>
      </c>
      <c r="O48" s="6" t="str">
        <f t="shared" si="13"/>
        <v/>
      </c>
      <c r="P48" s="6" t="str">
        <f>IFERROR(VLOOKUP(B48,Control_Library!$A$2:$E$11,2,FALSE),"")</f>
        <v/>
      </c>
      <c r="Q48" s="6" t="str">
        <f>IFERROR(VLOOKUP(B48,Control_Library!$A$2:$E$11,3,FALSE),"")</f>
        <v/>
      </c>
      <c r="R48" s="6" t="str">
        <f>IFERROR(VLOOKUP(B48,Control_Library!$A$2:$E$11,4,FALSE),"")</f>
        <v/>
      </c>
      <c r="S48" s="6" t="str">
        <f>IFERROR(VLOOKUP(B48,Control_Library!$A$2:$E$11,5,FALSE),"")</f>
        <v/>
      </c>
      <c r="T48" s="7"/>
      <c r="U48" s="8"/>
      <c r="V48" s="7"/>
      <c r="W48" s="7"/>
    </row>
    <row r="49" spans="1:23" x14ac:dyDescent="0.35">
      <c r="A49" s="6" t="str">
        <f t="shared" si="7"/>
        <v/>
      </c>
      <c r="B49" s="7"/>
      <c r="C49" s="7"/>
      <c r="D49" s="7"/>
      <c r="E49" s="7"/>
      <c r="F49" s="7"/>
      <c r="G49" s="7"/>
      <c r="H49" s="7"/>
      <c r="I49" s="6" t="str">
        <f t="shared" si="8"/>
        <v/>
      </c>
      <c r="J49" s="6" t="str">
        <f t="shared" si="9"/>
        <v/>
      </c>
      <c r="K49" s="7"/>
      <c r="L49" s="6" t="str">
        <f t="shared" si="10"/>
        <v/>
      </c>
      <c r="M49" s="6" t="str">
        <f t="shared" si="11"/>
        <v/>
      </c>
      <c r="N49" s="6" t="str">
        <f t="shared" si="12"/>
        <v/>
      </c>
      <c r="O49" s="6" t="str">
        <f t="shared" si="13"/>
        <v/>
      </c>
      <c r="P49" s="6" t="str">
        <f>IFERROR(VLOOKUP(B49,Control_Library!$A$2:$E$11,2,FALSE),"")</f>
        <v/>
      </c>
      <c r="Q49" s="6" t="str">
        <f>IFERROR(VLOOKUP(B49,Control_Library!$A$2:$E$11,3,FALSE),"")</f>
        <v/>
      </c>
      <c r="R49" s="6" t="str">
        <f>IFERROR(VLOOKUP(B49,Control_Library!$A$2:$E$11,4,FALSE),"")</f>
        <v/>
      </c>
      <c r="S49" s="6" t="str">
        <f>IFERROR(VLOOKUP(B49,Control_Library!$A$2:$E$11,5,FALSE),"")</f>
        <v/>
      </c>
      <c r="T49" s="7"/>
      <c r="U49" s="8"/>
      <c r="V49" s="7"/>
      <c r="W49" s="7"/>
    </row>
    <row r="50" spans="1:23" x14ac:dyDescent="0.35">
      <c r="A50" s="6" t="str">
        <f t="shared" si="7"/>
        <v/>
      </c>
      <c r="B50" s="7"/>
      <c r="C50" s="7"/>
      <c r="D50" s="7"/>
      <c r="E50" s="7"/>
      <c r="F50" s="7"/>
      <c r="G50" s="7"/>
      <c r="H50" s="7"/>
      <c r="I50" s="6" t="str">
        <f t="shared" si="8"/>
        <v/>
      </c>
      <c r="J50" s="6" t="str">
        <f t="shared" si="9"/>
        <v/>
      </c>
      <c r="K50" s="7"/>
      <c r="L50" s="6" t="str">
        <f t="shared" si="10"/>
        <v/>
      </c>
      <c r="M50" s="6" t="str">
        <f t="shared" si="11"/>
        <v/>
      </c>
      <c r="N50" s="6" t="str">
        <f t="shared" si="12"/>
        <v/>
      </c>
      <c r="O50" s="6" t="str">
        <f t="shared" si="13"/>
        <v/>
      </c>
      <c r="P50" s="6" t="str">
        <f>IFERROR(VLOOKUP(B50,Control_Library!$A$2:$E$11,2,FALSE),"")</f>
        <v/>
      </c>
      <c r="Q50" s="6" t="str">
        <f>IFERROR(VLOOKUP(B50,Control_Library!$A$2:$E$11,3,FALSE),"")</f>
        <v/>
      </c>
      <c r="R50" s="6" t="str">
        <f>IFERROR(VLOOKUP(B50,Control_Library!$A$2:$E$11,4,FALSE),"")</f>
        <v/>
      </c>
      <c r="S50" s="6" t="str">
        <f>IFERROR(VLOOKUP(B50,Control_Library!$A$2:$E$11,5,FALSE),"")</f>
        <v/>
      </c>
      <c r="T50" s="7"/>
      <c r="U50" s="8"/>
      <c r="V50" s="7"/>
      <c r="W50" s="7"/>
    </row>
    <row r="51" spans="1:23" x14ac:dyDescent="0.35">
      <c r="A51" s="6" t="str">
        <f t="shared" si="7"/>
        <v/>
      </c>
      <c r="B51" s="7"/>
      <c r="C51" s="7"/>
      <c r="D51" s="7"/>
      <c r="E51" s="7"/>
      <c r="F51" s="7"/>
      <c r="G51" s="7"/>
      <c r="H51" s="7"/>
      <c r="I51" s="6" t="str">
        <f t="shared" si="8"/>
        <v/>
      </c>
      <c r="J51" s="6" t="str">
        <f t="shared" si="9"/>
        <v/>
      </c>
      <c r="K51" s="7"/>
      <c r="L51" s="6" t="str">
        <f t="shared" si="10"/>
        <v/>
      </c>
      <c r="M51" s="6" t="str">
        <f t="shared" si="11"/>
        <v/>
      </c>
      <c r="N51" s="6" t="str">
        <f t="shared" si="12"/>
        <v/>
      </c>
      <c r="O51" s="6" t="str">
        <f t="shared" si="13"/>
        <v/>
      </c>
      <c r="P51" s="6" t="str">
        <f>IFERROR(VLOOKUP(B51,Control_Library!$A$2:$E$11,2,FALSE),"")</f>
        <v/>
      </c>
      <c r="Q51" s="6" t="str">
        <f>IFERROR(VLOOKUP(B51,Control_Library!$A$2:$E$11,3,FALSE),"")</f>
        <v/>
      </c>
      <c r="R51" s="6" t="str">
        <f>IFERROR(VLOOKUP(B51,Control_Library!$A$2:$E$11,4,FALSE),"")</f>
        <v/>
      </c>
      <c r="S51" s="6" t="str">
        <f>IFERROR(VLOOKUP(B51,Control_Library!$A$2:$E$11,5,FALSE),"")</f>
        <v/>
      </c>
      <c r="T51" s="7"/>
      <c r="U51" s="8"/>
      <c r="V51" s="7"/>
      <c r="W51" s="7"/>
    </row>
    <row r="52" spans="1:23" x14ac:dyDescent="0.35">
      <c r="A52" s="6" t="str">
        <f t="shared" si="7"/>
        <v/>
      </c>
      <c r="B52" s="7"/>
      <c r="C52" s="7"/>
      <c r="D52" s="7"/>
      <c r="E52" s="7"/>
      <c r="F52" s="7"/>
      <c r="G52" s="7"/>
      <c r="H52" s="7"/>
      <c r="I52" s="6" t="str">
        <f t="shared" si="8"/>
        <v/>
      </c>
      <c r="J52" s="6" t="str">
        <f t="shared" si="9"/>
        <v/>
      </c>
      <c r="K52" s="7"/>
      <c r="L52" s="6" t="str">
        <f t="shared" si="10"/>
        <v/>
      </c>
      <c r="M52" s="6" t="str">
        <f t="shared" si="11"/>
        <v/>
      </c>
      <c r="N52" s="6" t="str">
        <f t="shared" si="12"/>
        <v/>
      </c>
      <c r="O52" s="6" t="str">
        <f t="shared" si="13"/>
        <v/>
      </c>
      <c r="P52" s="6" t="str">
        <f>IFERROR(VLOOKUP(B52,Control_Library!$A$2:$E$11,2,FALSE),"")</f>
        <v/>
      </c>
      <c r="Q52" s="6" t="str">
        <f>IFERROR(VLOOKUP(B52,Control_Library!$A$2:$E$11,3,FALSE),"")</f>
        <v/>
      </c>
      <c r="R52" s="6" t="str">
        <f>IFERROR(VLOOKUP(B52,Control_Library!$A$2:$E$11,4,FALSE),"")</f>
        <v/>
      </c>
      <c r="S52" s="6" t="str">
        <f>IFERROR(VLOOKUP(B52,Control_Library!$A$2:$E$11,5,FALSE),"")</f>
        <v/>
      </c>
      <c r="T52" s="7"/>
      <c r="U52" s="8"/>
      <c r="V52" s="7"/>
      <c r="W52" s="7"/>
    </row>
    <row r="53" spans="1:23" x14ac:dyDescent="0.35">
      <c r="A53" s="6" t="str">
        <f t="shared" si="7"/>
        <v/>
      </c>
      <c r="B53" s="7"/>
      <c r="C53" s="7"/>
      <c r="D53" s="7"/>
      <c r="E53" s="7"/>
      <c r="F53" s="7"/>
      <c r="G53" s="7"/>
      <c r="H53" s="7"/>
      <c r="I53" s="6" t="str">
        <f t="shared" si="8"/>
        <v/>
      </c>
      <c r="J53" s="6" t="str">
        <f t="shared" si="9"/>
        <v/>
      </c>
      <c r="K53" s="7"/>
      <c r="L53" s="6" t="str">
        <f t="shared" si="10"/>
        <v/>
      </c>
      <c r="M53" s="6" t="str">
        <f t="shared" si="11"/>
        <v/>
      </c>
      <c r="N53" s="6" t="str">
        <f t="shared" si="12"/>
        <v/>
      </c>
      <c r="O53" s="6" t="str">
        <f t="shared" si="13"/>
        <v/>
      </c>
      <c r="P53" s="6" t="str">
        <f>IFERROR(VLOOKUP(B53,Control_Library!$A$2:$E$11,2,FALSE),"")</f>
        <v/>
      </c>
      <c r="Q53" s="6" t="str">
        <f>IFERROR(VLOOKUP(B53,Control_Library!$A$2:$E$11,3,FALSE),"")</f>
        <v/>
      </c>
      <c r="R53" s="6" t="str">
        <f>IFERROR(VLOOKUP(B53,Control_Library!$A$2:$E$11,4,FALSE),"")</f>
        <v/>
      </c>
      <c r="S53" s="6" t="str">
        <f>IFERROR(VLOOKUP(B53,Control_Library!$A$2:$E$11,5,FALSE),"")</f>
        <v/>
      </c>
      <c r="T53" s="7"/>
      <c r="U53" s="8"/>
      <c r="V53" s="7"/>
      <c r="W53" s="7"/>
    </row>
    <row r="54" spans="1:23" x14ac:dyDescent="0.35">
      <c r="A54" s="6" t="str">
        <f t="shared" si="7"/>
        <v/>
      </c>
      <c r="B54" s="7"/>
      <c r="C54" s="7"/>
      <c r="D54" s="7"/>
      <c r="E54" s="7"/>
      <c r="F54" s="7"/>
      <c r="G54" s="7"/>
      <c r="H54" s="7"/>
      <c r="I54" s="6" t="str">
        <f t="shared" si="8"/>
        <v/>
      </c>
      <c r="J54" s="6" t="str">
        <f t="shared" si="9"/>
        <v/>
      </c>
      <c r="K54" s="7"/>
      <c r="L54" s="6" t="str">
        <f t="shared" si="10"/>
        <v/>
      </c>
      <c r="M54" s="6" t="str">
        <f t="shared" si="11"/>
        <v/>
      </c>
      <c r="N54" s="6" t="str">
        <f t="shared" si="12"/>
        <v/>
      </c>
      <c r="O54" s="6" t="str">
        <f t="shared" si="13"/>
        <v/>
      </c>
      <c r="P54" s="6" t="str">
        <f>IFERROR(VLOOKUP(B54,Control_Library!$A$2:$E$11,2,FALSE),"")</f>
        <v/>
      </c>
      <c r="Q54" s="6" t="str">
        <f>IFERROR(VLOOKUP(B54,Control_Library!$A$2:$E$11,3,FALSE),"")</f>
        <v/>
      </c>
      <c r="R54" s="6" t="str">
        <f>IFERROR(VLOOKUP(B54,Control_Library!$A$2:$E$11,4,FALSE),"")</f>
        <v/>
      </c>
      <c r="S54" s="6" t="str">
        <f>IFERROR(VLOOKUP(B54,Control_Library!$A$2:$E$11,5,FALSE),"")</f>
        <v/>
      </c>
      <c r="T54" s="7"/>
      <c r="U54" s="8"/>
      <c r="V54" s="7"/>
      <c r="W54" s="7"/>
    </row>
    <row r="55" spans="1:23" x14ac:dyDescent="0.35">
      <c r="A55" s="6" t="str">
        <f t="shared" si="7"/>
        <v/>
      </c>
      <c r="B55" s="7"/>
      <c r="C55" s="7"/>
      <c r="D55" s="7"/>
      <c r="E55" s="7"/>
      <c r="F55" s="7"/>
      <c r="G55" s="7"/>
      <c r="H55" s="7"/>
      <c r="I55" s="6" t="str">
        <f t="shared" si="8"/>
        <v/>
      </c>
      <c r="J55" s="6" t="str">
        <f t="shared" si="9"/>
        <v/>
      </c>
      <c r="K55" s="7"/>
      <c r="L55" s="6" t="str">
        <f t="shared" si="10"/>
        <v/>
      </c>
      <c r="M55" s="6" t="str">
        <f t="shared" si="11"/>
        <v/>
      </c>
      <c r="N55" s="6" t="str">
        <f t="shared" si="12"/>
        <v/>
      </c>
      <c r="O55" s="6" t="str">
        <f t="shared" si="13"/>
        <v/>
      </c>
      <c r="P55" s="6" t="str">
        <f>IFERROR(VLOOKUP(B55,Control_Library!$A$2:$E$11,2,FALSE),"")</f>
        <v/>
      </c>
      <c r="Q55" s="6" t="str">
        <f>IFERROR(VLOOKUP(B55,Control_Library!$A$2:$E$11,3,FALSE),"")</f>
        <v/>
      </c>
      <c r="R55" s="6" t="str">
        <f>IFERROR(VLOOKUP(B55,Control_Library!$A$2:$E$11,4,FALSE),"")</f>
        <v/>
      </c>
      <c r="S55" s="6" t="str">
        <f>IFERROR(VLOOKUP(B55,Control_Library!$A$2:$E$11,5,FALSE),"")</f>
        <v/>
      </c>
      <c r="T55" s="7"/>
      <c r="U55" s="8"/>
      <c r="V55" s="7"/>
      <c r="W55" s="7"/>
    </row>
    <row r="56" spans="1:23" x14ac:dyDescent="0.35">
      <c r="A56" s="6" t="str">
        <f t="shared" si="7"/>
        <v/>
      </c>
      <c r="B56" s="7"/>
      <c r="C56" s="7"/>
      <c r="D56" s="7"/>
      <c r="E56" s="7"/>
      <c r="F56" s="7"/>
      <c r="G56" s="7"/>
      <c r="H56" s="7"/>
      <c r="I56" s="6" t="str">
        <f t="shared" si="8"/>
        <v/>
      </c>
      <c r="J56" s="6" t="str">
        <f t="shared" si="9"/>
        <v/>
      </c>
      <c r="K56" s="7"/>
      <c r="L56" s="6" t="str">
        <f t="shared" si="10"/>
        <v/>
      </c>
      <c r="M56" s="6" t="str">
        <f t="shared" si="11"/>
        <v/>
      </c>
      <c r="N56" s="6" t="str">
        <f t="shared" si="12"/>
        <v/>
      </c>
      <c r="O56" s="6" t="str">
        <f t="shared" si="13"/>
        <v/>
      </c>
      <c r="P56" s="6" t="str">
        <f>IFERROR(VLOOKUP(B56,Control_Library!$A$2:$E$11,2,FALSE),"")</f>
        <v/>
      </c>
      <c r="Q56" s="6" t="str">
        <f>IFERROR(VLOOKUP(B56,Control_Library!$A$2:$E$11,3,FALSE),"")</f>
        <v/>
      </c>
      <c r="R56" s="6" t="str">
        <f>IFERROR(VLOOKUP(B56,Control_Library!$A$2:$E$11,4,FALSE),"")</f>
        <v/>
      </c>
      <c r="S56" s="6" t="str">
        <f>IFERROR(VLOOKUP(B56,Control_Library!$A$2:$E$11,5,FALSE),"")</f>
        <v/>
      </c>
      <c r="T56" s="7"/>
      <c r="U56" s="8"/>
      <c r="V56" s="7"/>
      <c r="W56" s="7"/>
    </row>
    <row r="57" spans="1:23" x14ac:dyDescent="0.35">
      <c r="A57" s="6" t="str">
        <f t="shared" si="7"/>
        <v/>
      </c>
      <c r="B57" s="7"/>
      <c r="C57" s="7"/>
      <c r="D57" s="7"/>
      <c r="E57" s="7"/>
      <c r="F57" s="7"/>
      <c r="G57" s="7"/>
      <c r="H57" s="7"/>
      <c r="I57" s="6" t="str">
        <f t="shared" si="8"/>
        <v/>
      </c>
      <c r="J57" s="6" t="str">
        <f t="shared" si="9"/>
        <v/>
      </c>
      <c r="K57" s="7"/>
      <c r="L57" s="6" t="str">
        <f t="shared" si="10"/>
        <v/>
      </c>
      <c r="M57" s="6" t="str">
        <f t="shared" si="11"/>
        <v/>
      </c>
      <c r="N57" s="6" t="str">
        <f t="shared" si="12"/>
        <v/>
      </c>
      <c r="O57" s="6" t="str">
        <f t="shared" si="13"/>
        <v/>
      </c>
      <c r="P57" s="6" t="str">
        <f>IFERROR(VLOOKUP(B57,Control_Library!$A$2:$E$11,2,FALSE),"")</f>
        <v/>
      </c>
      <c r="Q57" s="6" t="str">
        <f>IFERROR(VLOOKUP(B57,Control_Library!$A$2:$E$11,3,FALSE),"")</f>
        <v/>
      </c>
      <c r="R57" s="6" t="str">
        <f>IFERROR(VLOOKUP(B57,Control_Library!$A$2:$E$11,4,FALSE),"")</f>
        <v/>
      </c>
      <c r="S57" s="6" t="str">
        <f>IFERROR(VLOOKUP(B57,Control_Library!$A$2:$E$11,5,FALSE),"")</f>
        <v/>
      </c>
      <c r="T57" s="7"/>
      <c r="U57" s="8"/>
      <c r="V57" s="7"/>
      <c r="W57" s="7"/>
    </row>
    <row r="58" spans="1:23" x14ac:dyDescent="0.35">
      <c r="A58" s="6" t="str">
        <f t="shared" si="7"/>
        <v/>
      </c>
      <c r="B58" s="7"/>
      <c r="C58" s="7"/>
      <c r="D58" s="7"/>
      <c r="E58" s="7"/>
      <c r="F58" s="7"/>
      <c r="G58" s="7"/>
      <c r="H58" s="7"/>
      <c r="I58" s="6" t="str">
        <f t="shared" si="8"/>
        <v/>
      </c>
      <c r="J58" s="6" t="str">
        <f t="shared" si="9"/>
        <v/>
      </c>
      <c r="K58" s="7"/>
      <c r="L58" s="6" t="str">
        <f t="shared" si="10"/>
        <v/>
      </c>
      <c r="M58" s="6" t="str">
        <f t="shared" si="11"/>
        <v/>
      </c>
      <c r="N58" s="6" t="str">
        <f t="shared" si="12"/>
        <v/>
      </c>
      <c r="O58" s="6" t="str">
        <f t="shared" si="13"/>
        <v/>
      </c>
      <c r="P58" s="6" t="str">
        <f>IFERROR(VLOOKUP(B58,Control_Library!$A$2:$E$11,2,FALSE),"")</f>
        <v/>
      </c>
      <c r="Q58" s="6" t="str">
        <f>IFERROR(VLOOKUP(B58,Control_Library!$A$2:$E$11,3,FALSE),"")</f>
        <v/>
      </c>
      <c r="R58" s="6" t="str">
        <f>IFERROR(VLOOKUP(B58,Control_Library!$A$2:$E$11,4,FALSE),"")</f>
        <v/>
      </c>
      <c r="S58" s="6" t="str">
        <f>IFERROR(VLOOKUP(B58,Control_Library!$A$2:$E$11,5,FALSE),"")</f>
        <v/>
      </c>
      <c r="T58" s="7"/>
      <c r="U58" s="8"/>
      <c r="V58" s="7"/>
      <c r="W58" s="7"/>
    </row>
    <row r="59" spans="1:23" x14ac:dyDescent="0.35">
      <c r="A59" s="6" t="str">
        <f t="shared" si="7"/>
        <v/>
      </c>
      <c r="B59" s="7"/>
      <c r="C59" s="7"/>
      <c r="D59" s="7"/>
      <c r="E59" s="7"/>
      <c r="F59" s="7"/>
      <c r="G59" s="7"/>
      <c r="H59" s="7"/>
      <c r="I59" s="6" t="str">
        <f t="shared" si="8"/>
        <v/>
      </c>
      <c r="J59" s="6" t="str">
        <f t="shared" si="9"/>
        <v/>
      </c>
      <c r="K59" s="7"/>
      <c r="L59" s="6" t="str">
        <f t="shared" si="10"/>
        <v/>
      </c>
      <c r="M59" s="6" t="str">
        <f t="shared" si="11"/>
        <v/>
      </c>
      <c r="N59" s="6" t="str">
        <f t="shared" si="12"/>
        <v/>
      </c>
      <c r="O59" s="6" t="str">
        <f t="shared" si="13"/>
        <v/>
      </c>
      <c r="P59" s="6" t="str">
        <f>IFERROR(VLOOKUP(B59,Control_Library!$A$2:$E$11,2,FALSE),"")</f>
        <v/>
      </c>
      <c r="Q59" s="6" t="str">
        <f>IFERROR(VLOOKUP(B59,Control_Library!$A$2:$E$11,3,FALSE),"")</f>
        <v/>
      </c>
      <c r="R59" s="6" t="str">
        <f>IFERROR(VLOOKUP(B59,Control_Library!$A$2:$E$11,4,FALSE),"")</f>
        <v/>
      </c>
      <c r="S59" s="6" t="str">
        <f>IFERROR(VLOOKUP(B59,Control_Library!$A$2:$E$11,5,FALSE),"")</f>
        <v/>
      </c>
      <c r="T59" s="7"/>
      <c r="U59" s="8"/>
      <c r="V59" s="7"/>
      <c r="W59" s="7"/>
    </row>
    <row r="60" spans="1:23" x14ac:dyDescent="0.35">
      <c r="A60" s="6" t="str">
        <f t="shared" si="7"/>
        <v/>
      </c>
      <c r="B60" s="7"/>
      <c r="C60" s="7"/>
      <c r="D60" s="7"/>
      <c r="E60" s="7"/>
      <c r="F60" s="7"/>
      <c r="G60" s="7"/>
      <c r="H60" s="7"/>
      <c r="I60" s="6" t="str">
        <f t="shared" si="8"/>
        <v/>
      </c>
      <c r="J60" s="6" t="str">
        <f t="shared" si="9"/>
        <v/>
      </c>
      <c r="K60" s="7"/>
      <c r="L60" s="6" t="str">
        <f t="shared" si="10"/>
        <v/>
      </c>
      <c r="M60" s="6" t="str">
        <f t="shared" si="11"/>
        <v/>
      </c>
      <c r="N60" s="6" t="str">
        <f t="shared" si="12"/>
        <v/>
      </c>
      <c r="O60" s="6" t="str">
        <f t="shared" si="13"/>
        <v/>
      </c>
      <c r="P60" s="6" t="str">
        <f>IFERROR(VLOOKUP(B60,Control_Library!$A$2:$E$11,2,FALSE),"")</f>
        <v/>
      </c>
      <c r="Q60" s="6" t="str">
        <f>IFERROR(VLOOKUP(B60,Control_Library!$A$2:$E$11,3,FALSE),"")</f>
        <v/>
      </c>
      <c r="R60" s="6" t="str">
        <f>IFERROR(VLOOKUP(B60,Control_Library!$A$2:$E$11,4,FALSE),"")</f>
        <v/>
      </c>
      <c r="S60" s="6" t="str">
        <f>IFERROR(VLOOKUP(B60,Control_Library!$A$2:$E$11,5,FALSE),"")</f>
        <v/>
      </c>
      <c r="T60" s="7"/>
      <c r="U60" s="8"/>
      <c r="V60" s="7"/>
      <c r="W60" s="7"/>
    </row>
    <row r="61" spans="1:23" x14ac:dyDescent="0.35">
      <c r="A61" s="6" t="str">
        <f t="shared" si="7"/>
        <v/>
      </c>
      <c r="B61" s="7"/>
      <c r="C61" s="7"/>
      <c r="D61" s="7"/>
      <c r="E61" s="7"/>
      <c r="F61" s="7"/>
      <c r="G61" s="7"/>
      <c r="H61" s="7"/>
      <c r="I61" s="6" t="str">
        <f t="shared" si="8"/>
        <v/>
      </c>
      <c r="J61" s="6" t="str">
        <f t="shared" si="9"/>
        <v/>
      </c>
      <c r="K61" s="7"/>
      <c r="L61" s="6" t="str">
        <f t="shared" si="10"/>
        <v/>
      </c>
      <c r="M61" s="6" t="str">
        <f t="shared" si="11"/>
        <v/>
      </c>
      <c r="N61" s="6" t="str">
        <f t="shared" si="12"/>
        <v/>
      </c>
      <c r="O61" s="6" t="str">
        <f t="shared" si="13"/>
        <v/>
      </c>
      <c r="P61" s="6" t="str">
        <f>IFERROR(VLOOKUP(B61,Control_Library!$A$2:$E$11,2,FALSE),"")</f>
        <v/>
      </c>
      <c r="Q61" s="6" t="str">
        <f>IFERROR(VLOOKUP(B61,Control_Library!$A$2:$E$11,3,FALSE),"")</f>
        <v/>
      </c>
      <c r="R61" s="6" t="str">
        <f>IFERROR(VLOOKUP(B61,Control_Library!$A$2:$E$11,4,FALSE),"")</f>
        <v/>
      </c>
      <c r="S61" s="6" t="str">
        <f>IFERROR(VLOOKUP(B61,Control_Library!$A$2:$E$11,5,FALSE),"")</f>
        <v/>
      </c>
      <c r="T61" s="7"/>
      <c r="U61" s="8"/>
      <c r="V61" s="7"/>
      <c r="W61" s="7"/>
    </row>
  </sheetData>
  <conditionalFormatting sqref="I2:I61">
    <cfRule type="cellIs" dxfId="13" priority="7" operator="greaterThanOrEqual">
      <formula>15</formula>
    </cfRule>
    <cfRule type="cellIs" dxfId="12" priority="8" operator="between">
      <formula>8</formula>
      <formula>14</formula>
    </cfRule>
    <cfRule type="cellIs" dxfId="11" priority="9" operator="lessThan">
      <formula>8</formula>
    </cfRule>
  </conditionalFormatting>
  <conditionalFormatting sqref="J2:J61">
    <cfRule type="cellIs" dxfId="10" priority="1" operator="equal">
      <formula>"High"</formula>
    </cfRule>
    <cfRule type="cellIs" dxfId="9" priority="2" operator="equal">
      <formula>"Medium"</formula>
    </cfRule>
    <cfRule type="cellIs" dxfId="8" priority="3" operator="equal">
      <formula>"Low"</formula>
    </cfRule>
  </conditionalFormatting>
  <conditionalFormatting sqref="N2:N61">
    <cfRule type="cellIs" dxfId="7" priority="10" operator="greaterThanOrEqual">
      <formula>15</formula>
    </cfRule>
    <cfRule type="cellIs" dxfId="6" priority="11" operator="between">
      <formula>8</formula>
      <formula>14</formula>
    </cfRule>
    <cfRule type="cellIs" dxfId="5" priority="12" operator="lessThan">
      <formula>8</formula>
    </cfRule>
  </conditionalFormatting>
  <conditionalFormatting sqref="O2:O61">
    <cfRule type="cellIs" dxfId="4" priority="4" operator="equal">
      <formula>"High"</formula>
    </cfRule>
    <cfRule type="cellIs" dxfId="3" priority="5" operator="equal">
      <formula>"Medium"</formula>
    </cfRule>
    <cfRule type="cellIs" dxfId="2" priority="6" operator="equal">
      <formula>"Low"</formula>
    </cfRule>
  </conditionalFormatting>
  <dataValidations count="1">
    <dataValidation type="whole" allowBlank="1" sqref="G2:H61 K2:K61" xr:uid="{00000000-0002-0000-0300-000003000000}">
      <formula1>1</formula1>
      <formula2>5</formula2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300-000000000000}">
          <x14:formula1>
            <xm:f>Lookup_Lists!$A$2:$A$11</xm:f>
          </x14:formula1>
          <xm:sqref>B2:B61</xm:sqref>
        </x14:dataValidation>
        <x14:dataValidation type="list" allowBlank="1" xr:uid="{00000000-0002-0000-0300-000001000000}">
          <x14:formula1>
            <xm:f>Lookup_Lists!$C$2:$C$6</xm:f>
          </x14:formula1>
          <xm:sqref>V2:V61</xm:sqref>
        </x14:dataValidation>
        <x14:dataValidation type="list" allowBlank="1" xr:uid="{00000000-0002-0000-0300-000002000000}">
          <x14:formula1>
            <xm:f>Lookup_Lists!$E$2:$E$7</xm:f>
          </x14:formula1>
          <xm:sqref>T2:T61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30"/>
  <sheetViews>
    <sheetView showGridLines="0" workbookViewId="0"/>
  </sheetViews>
  <sheetFormatPr defaultRowHeight="14.5" x14ac:dyDescent="0.35"/>
  <cols>
    <col min="1" max="1" width="18" customWidth="1"/>
    <col min="2" max="2" width="12" customWidth="1"/>
    <col min="3" max="3" width="14" customWidth="1"/>
    <col min="4" max="4" width="12" customWidth="1"/>
    <col min="5" max="5" width="4" customWidth="1"/>
    <col min="6" max="6" width="16" customWidth="1"/>
    <col min="7" max="7" width="10" customWidth="1"/>
    <col min="8" max="8" width="14" customWidth="1"/>
  </cols>
  <sheetData>
    <row r="1" spans="1:8" ht="21" x14ac:dyDescent="0.5">
      <c r="A1" s="18" t="s">
        <v>133</v>
      </c>
      <c r="B1" s="16"/>
      <c r="C1" s="16"/>
      <c r="D1" s="16"/>
      <c r="E1" s="16"/>
      <c r="F1" s="16"/>
      <c r="G1" s="16"/>
      <c r="H1" s="16"/>
    </row>
    <row r="3" spans="1:8" x14ac:dyDescent="0.35">
      <c r="A3" s="21" t="s">
        <v>134</v>
      </c>
      <c r="B3" s="20"/>
      <c r="C3" s="21" t="s">
        <v>135</v>
      </c>
      <c r="D3" s="20"/>
      <c r="E3" s="21" t="s">
        <v>136</v>
      </c>
      <c r="F3" s="20"/>
    </row>
    <row r="4" spans="1:8" ht="18.5" x14ac:dyDescent="0.35">
      <c r="A4" s="19">
        <f>COUNTA(Risk_Register!$D$2:$D$61)</f>
        <v>4</v>
      </c>
      <c r="B4" s="20"/>
      <c r="C4" s="19">
        <f>COUNTIF(Risk_Register!$J$2:$J$61,"High")</f>
        <v>3</v>
      </c>
      <c r="D4" s="20"/>
      <c r="E4" s="19">
        <f>COUNTIF(Risk_Register!$O$2:$O$61,"High")</f>
        <v>0</v>
      </c>
      <c r="F4" s="20"/>
    </row>
    <row r="6" spans="1:8" x14ac:dyDescent="0.35">
      <c r="A6" s="21" t="s">
        <v>137</v>
      </c>
      <c r="B6" s="20"/>
      <c r="C6" s="21" t="s">
        <v>138</v>
      </c>
      <c r="D6" s="20"/>
      <c r="E6" s="21" t="s">
        <v>139</v>
      </c>
      <c r="F6" s="20"/>
    </row>
    <row r="7" spans="1:8" ht="18.5" x14ac:dyDescent="0.35">
      <c r="A7" s="19">
        <f>COUNTIF(Risk_Register!$V$2:$V$61,"Open")+COUNTIF(Risk_Register!$V$2:$V$61,"In Progress")</f>
        <v>4</v>
      </c>
      <c r="B7" s="20"/>
      <c r="C7" s="19">
        <f>IFERROR(AVERAGEIF(Risk_Register!$N$2:$N$61,"&gt;0"),0)</f>
        <v>7</v>
      </c>
      <c r="D7" s="20"/>
      <c r="E7" s="19">
        <f ca="1">COUNTIFS(Risk_Register!$U$2:$U$61,"&lt;"&amp;TODAY(),Risk_Register!$V$2:$V$61,"&lt;&gt;Closed",Risk_Register!$U$2:$U$61,"&lt;&gt;")</f>
        <v>0</v>
      </c>
      <c r="F7" s="20"/>
    </row>
    <row r="10" spans="1:8" x14ac:dyDescent="0.35">
      <c r="A10" s="1" t="s">
        <v>140</v>
      </c>
      <c r="F10" s="1" t="s">
        <v>141</v>
      </c>
    </row>
    <row r="11" spans="1:8" x14ac:dyDescent="0.35">
      <c r="A11" s="2" t="s">
        <v>48</v>
      </c>
      <c r="B11" s="2" t="s">
        <v>142</v>
      </c>
      <c r="C11" s="2" t="s">
        <v>143</v>
      </c>
      <c r="D11" s="2" t="s">
        <v>144</v>
      </c>
      <c r="F11" s="2" t="s">
        <v>25</v>
      </c>
      <c r="G11" s="2" t="s">
        <v>145</v>
      </c>
    </row>
    <row r="12" spans="1:8" x14ac:dyDescent="0.35">
      <c r="A12" t="s">
        <v>27</v>
      </c>
      <c r="B12">
        <f>COUNTIF(Risk_Register!$B$2:$B$61,A12)</f>
        <v>0</v>
      </c>
      <c r="C12">
        <f>COUNTIFS(Risk_Register!$B$2:$B$61,A12,Risk_Register!$O$2:$O$61,"High")</f>
        <v>0</v>
      </c>
      <c r="D12">
        <f>COUNTIFS(Risk_Register!$B$2:$B$61,A12,Risk_Register!$V$2:$V$61,"Open")+COUNTIFS(Risk_Register!$B$2:$B$61,A12,Risk_Register!$V$2:$V$61,"In Progress")</f>
        <v>0</v>
      </c>
      <c r="F12" t="s">
        <v>28</v>
      </c>
      <c r="G12">
        <f>COUNTIF(Risk_Register!$V$2:$V$61,F12)</f>
        <v>3</v>
      </c>
    </row>
    <row r="13" spans="1:8" x14ac:dyDescent="0.35">
      <c r="A13" t="s">
        <v>30</v>
      </c>
      <c r="B13">
        <f>COUNTIF(Risk_Register!$B$2:$B$61,A13)</f>
        <v>1</v>
      </c>
      <c r="C13">
        <f>COUNTIFS(Risk_Register!$B$2:$B$61,A13,Risk_Register!$O$2:$O$61,"High")</f>
        <v>0</v>
      </c>
      <c r="D13">
        <f>COUNTIFS(Risk_Register!$B$2:$B$61,A13,Risk_Register!$V$2:$V$61,"Open")+COUNTIFS(Risk_Register!$B$2:$B$61,A13,Risk_Register!$V$2:$V$61,"In Progress")</f>
        <v>1</v>
      </c>
      <c r="F13" t="s">
        <v>31</v>
      </c>
      <c r="G13">
        <f>COUNTIF(Risk_Register!$V$2:$V$61,F13)</f>
        <v>1</v>
      </c>
    </row>
    <row r="14" spans="1:8" x14ac:dyDescent="0.35">
      <c r="A14" t="s">
        <v>33</v>
      </c>
      <c r="B14">
        <f>COUNTIF(Risk_Register!$B$2:$B$61,A14)</f>
        <v>0</v>
      </c>
      <c r="C14">
        <f>COUNTIFS(Risk_Register!$B$2:$B$61,A14,Risk_Register!$O$2:$O$61,"High")</f>
        <v>0</v>
      </c>
      <c r="D14">
        <f>COUNTIFS(Risk_Register!$B$2:$B$61,A14,Risk_Register!$V$2:$V$61,"Open")+COUNTIFS(Risk_Register!$B$2:$B$61,A14,Risk_Register!$V$2:$V$61,"In Progress")</f>
        <v>0</v>
      </c>
      <c r="F14" t="s">
        <v>34</v>
      </c>
      <c r="G14">
        <f>COUNTIF(Risk_Register!$V$2:$V$61,F14)</f>
        <v>0</v>
      </c>
    </row>
    <row r="15" spans="1:8" x14ac:dyDescent="0.35">
      <c r="A15" t="s">
        <v>36</v>
      </c>
      <c r="B15">
        <f>COUNTIF(Risk_Register!$B$2:$B$61,A15)</f>
        <v>1</v>
      </c>
      <c r="C15">
        <f>COUNTIFS(Risk_Register!$B$2:$B$61,A15,Risk_Register!$O$2:$O$61,"High")</f>
        <v>0</v>
      </c>
      <c r="D15">
        <f>COUNTIFS(Risk_Register!$B$2:$B$61,A15,Risk_Register!$V$2:$V$61,"Open")+COUNTIFS(Risk_Register!$B$2:$B$61,A15,Risk_Register!$V$2:$V$61,"In Progress")</f>
        <v>1</v>
      </c>
      <c r="F15" t="s">
        <v>37</v>
      </c>
      <c r="G15">
        <f>COUNTIF(Risk_Register!$V$2:$V$61,F15)</f>
        <v>0</v>
      </c>
    </row>
    <row r="16" spans="1:8" x14ac:dyDescent="0.35">
      <c r="A16" t="s">
        <v>39</v>
      </c>
      <c r="B16">
        <f>COUNTIF(Risk_Register!$B$2:$B$61,A16)</f>
        <v>0</v>
      </c>
      <c r="C16">
        <f>COUNTIFS(Risk_Register!$B$2:$B$61,A16,Risk_Register!$O$2:$O$61,"High")</f>
        <v>0</v>
      </c>
      <c r="D16">
        <f>COUNTIFS(Risk_Register!$B$2:$B$61,A16,Risk_Register!$V$2:$V$61,"Open")+COUNTIFS(Risk_Register!$B$2:$B$61,A16,Risk_Register!$V$2:$V$61,"In Progress")</f>
        <v>0</v>
      </c>
      <c r="F16" t="s">
        <v>40</v>
      </c>
      <c r="G16">
        <f>COUNTIF(Risk_Register!$V$2:$V$61,F16)</f>
        <v>0</v>
      </c>
    </row>
    <row r="17" spans="1:30" x14ac:dyDescent="0.35">
      <c r="A17" t="s">
        <v>42</v>
      </c>
      <c r="B17">
        <f>COUNTIF(Risk_Register!$B$2:$B$61,A17)</f>
        <v>1</v>
      </c>
      <c r="C17">
        <f>COUNTIFS(Risk_Register!$B$2:$B$61,A17,Risk_Register!$O$2:$O$61,"High")</f>
        <v>0</v>
      </c>
      <c r="D17">
        <f>COUNTIFS(Risk_Register!$B$2:$B$61,A17,Risk_Register!$V$2:$V$61,"Open")+COUNTIFS(Risk_Register!$B$2:$B$61,A17,Risk_Register!$V$2:$V$61,"In Progress")</f>
        <v>1</v>
      </c>
    </row>
    <row r="18" spans="1:30" x14ac:dyDescent="0.35">
      <c r="A18" t="s">
        <v>44</v>
      </c>
      <c r="B18">
        <f>COUNTIF(Risk_Register!$B$2:$B$61,A18)</f>
        <v>0</v>
      </c>
      <c r="C18">
        <f>COUNTIFS(Risk_Register!$B$2:$B$61,A18,Risk_Register!$O$2:$O$61,"High")</f>
        <v>0</v>
      </c>
      <c r="D18">
        <f>COUNTIFS(Risk_Register!$B$2:$B$61,A18,Risk_Register!$V$2:$V$61,"Open")+COUNTIFS(Risk_Register!$B$2:$B$61,A18,Risk_Register!$V$2:$V$61,"In Progress")</f>
        <v>0</v>
      </c>
    </row>
    <row r="19" spans="1:30" x14ac:dyDescent="0.35">
      <c r="A19" t="s">
        <v>45</v>
      </c>
      <c r="B19">
        <f>COUNTIF(Risk_Register!$B$2:$B$61,A19)</f>
        <v>0</v>
      </c>
      <c r="C19">
        <f>COUNTIFS(Risk_Register!$B$2:$B$61,A19,Risk_Register!$O$2:$O$61,"High")</f>
        <v>0</v>
      </c>
      <c r="D19">
        <f>COUNTIFS(Risk_Register!$B$2:$B$61,A19,Risk_Register!$V$2:$V$61,"Open")+COUNTIFS(Risk_Register!$B$2:$B$61,A19,Risk_Register!$V$2:$V$61,"In Progress")</f>
        <v>0</v>
      </c>
    </row>
    <row r="20" spans="1:30" x14ac:dyDescent="0.35">
      <c r="A20" t="s">
        <v>46</v>
      </c>
      <c r="B20">
        <f>COUNTIF(Risk_Register!$B$2:$B$61,A20)</f>
        <v>0</v>
      </c>
      <c r="C20">
        <f>COUNTIFS(Risk_Register!$B$2:$B$61,A20,Risk_Register!$O$2:$O$61,"High")</f>
        <v>0</v>
      </c>
      <c r="D20">
        <f>COUNTIFS(Risk_Register!$B$2:$B$61,A20,Risk_Register!$V$2:$V$61,"Open")+COUNTIFS(Risk_Register!$B$2:$B$61,A20,Risk_Register!$V$2:$V$61,"In Progress")</f>
        <v>0</v>
      </c>
    </row>
    <row r="21" spans="1:30" x14ac:dyDescent="0.35">
      <c r="A21" t="s">
        <v>47</v>
      </c>
      <c r="B21">
        <f>COUNTIF(Risk_Register!$B$2:$B$61,A21)</f>
        <v>1</v>
      </c>
      <c r="C21">
        <f>COUNTIFS(Risk_Register!$B$2:$B$61,A21,Risk_Register!$O$2:$O$61,"High")</f>
        <v>0</v>
      </c>
      <c r="D21">
        <f>COUNTIFS(Risk_Register!$B$2:$B$61,A21,Risk_Register!$V$2:$V$61,"Open")+COUNTIFS(Risk_Register!$B$2:$B$61,A21,Risk_Register!$V$2:$V$61,"In Progress")</f>
        <v>1</v>
      </c>
    </row>
    <row r="24" spans="1:30" x14ac:dyDescent="0.35">
      <c r="A24" s="1" t="s">
        <v>146</v>
      </c>
    </row>
    <row r="25" spans="1:30" x14ac:dyDescent="0.35">
      <c r="B25" s="9">
        <v>1</v>
      </c>
      <c r="C25" s="9">
        <v>2</v>
      </c>
      <c r="D25" s="9">
        <v>3</v>
      </c>
      <c r="E25" s="9">
        <v>4</v>
      </c>
      <c r="F25" s="9">
        <v>5</v>
      </c>
    </row>
    <row r="26" spans="1:30" x14ac:dyDescent="0.35">
      <c r="A26" s="10">
        <v>1</v>
      </c>
      <c r="B26" s="11">
        <f>COUNTIFS(Risk_Register!$L$2:$L$61,$A26,Risk_Register!$M$2:$M$61,B$25)</f>
        <v>0</v>
      </c>
      <c r="C26" s="11">
        <f>COUNTIFS(Risk_Register!$L$2:$L$61,$A26,Risk_Register!$M$2:$M$61,C$25)</f>
        <v>0</v>
      </c>
      <c r="D26" s="11">
        <f>COUNTIFS(Risk_Register!$L$2:$L$61,$A26,Risk_Register!$M$2:$M$61,D$25)</f>
        <v>0</v>
      </c>
      <c r="E26" s="11">
        <f>COUNTIFS(Risk_Register!$L$2:$L$61,$A26,Risk_Register!$M$2:$M$61,E$25)</f>
        <v>0</v>
      </c>
      <c r="F26" s="11">
        <f>COUNTIFS(Risk_Register!$L$2:$L$61,$A26,Risk_Register!$M$2:$M$61,F$25)</f>
        <v>0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1:30" x14ac:dyDescent="0.35">
      <c r="A27" s="13">
        <v>2</v>
      </c>
      <c r="B27" s="14">
        <f>COUNTIFS(Risk_Register!$L$2:$L$61,$A27,Risk_Register!$M$2:$M$61,B$25)</f>
        <v>0</v>
      </c>
      <c r="C27" s="14">
        <f>COUNTIFS(Risk_Register!$L$2:$L$61,$A27,Risk_Register!$M$2:$M$61,C$25)</f>
        <v>0</v>
      </c>
      <c r="D27" s="14">
        <f>COUNTIFS(Risk_Register!$L$2:$L$61,$A27,Risk_Register!$M$2:$M$61,D$25)</f>
        <v>2</v>
      </c>
      <c r="E27" s="14">
        <f>COUNTIFS(Risk_Register!$L$2:$L$61,$A27,Risk_Register!$M$2:$M$61,E$25)</f>
        <v>2</v>
      </c>
      <c r="F27" s="14">
        <f>COUNTIFS(Risk_Register!$L$2:$L$61,$A27,Risk_Register!$M$2:$M$61,F$25)</f>
        <v>0</v>
      </c>
    </row>
    <row r="28" spans="1:30" x14ac:dyDescent="0.35">
      <c r="A28" s="13">
        <v>3</v>
      </c>
      <c r="B28" s="14">
        <f>COUNTIFS(Risk_Register!$L$2:$L$61,$A28,Risk_Register!$M$2:$M$61,B$25)</f>
        <v>0</v>
      </c>
      <c r="C28" s="14">
        <f>COUNTIFS(Risk_Register!$L$2:$L$61,$A28,Risk_Register!$M$2:$M$61,C$25)</f>
        <v>0</v>
      </c>
      <c r="D28" s="14">
        <f>COUNTIFS(Risk_Register!$L$2:$L$61,$A28,Risk_Register!$M$2:$M$61,D$25)</f>
        <v>0</v>
      </c>
      <c r="E28" s="14">
        <f>COUNTIFS(Risk_Register!$L$2:$L$61,$A28,Risk_Register!$M$2:$M$61,E$25)</f>
        <v>0</v>
      </c>
      <c r="F28" s="14">
        <f>COUNTIFS(Risk_Register!$L$2:$L$61,$A28,Risk_Register!$M$2:$M$61,F$25)</f>
        <v>0</v>
      </c>
    </row>
    <row r="29" spans="1:30" x14ac:dyDescent="0.35">
      <c r="A29" s="13">
        <v>4</v>
      </c>
      <c r="B29" s="14">
        <f>COUNTIFS(Risk_Register!$L$2:$L$61,$A29,Risk_Register!$M$2:$M$61,B$25)</f>
        <v>0</v>
      </c>
      <c r="C29" s="14">
        <f>COUNTIFS(Risk_Register!$L$2:$L$61,$A29,Risk_Register!$M$2:$M$61,C$25)</f>
        <v>0</v>
      </c>
      <c r="D29" s="14">
        <f>COUNTIFS(Risk_Register!$L$2:$L$61,$A29,Risk_Register!$M$2:$M$61,D$25)</f>
        <v>0</v>
      </c>
      <c r="E29" s="14">
        <f>COUNTIFS(Risk_Register!$L$2:$L$61,$A29,Risk_Register!$M$2:$M$61,E$25)</f>
        <v>0</v>
      </c>
      <c r="F29" s="14">
        <f>COUNTIFS(Risk_Register!$L$2:$L$61,$A29,Risk_Register!$M$2:$M$61,F$25)</f>
        <v>0</v>
      </c>
    </row>
    <row r="30" spans="1:30" x14ac:dyDescent="0.35">
      <c r="A30" s="13">
        <v>5</v>
      </c>
      <c r="B30" s="14">
        <f>COUNTIFS(Risk_Register!$L$2:$L$61,$A30,Risk_Register!$M$2:$M$61,B$25)</f>
        <v>0</v>
      </c>
      <c r="C30" s="14">
        <f>COUNTIFS(Risk_Register!$L$2:$L$61,$A30,Risk_Register!$M$2:$M$61,C$25)</f>
        <v>0</v>
      </c>
      <c r="D30" s="14">
        <f>COUNTIFS(Risk_Register!$L$2:$L$61,$A30,Risk_Register!$M$2:$M$61,D$25)</f>
        <v>0</v>
      </c>
      <c r="E30" s="14">
        <f>COUNTIFS(Risk_Register!$L$2:$L$61,$A30,Risk_Register!$M$2:$M$61,E$25)</f>
        <v>0</v>
      </c>
      <c r="F30" s="14">
        <f>COUNTIFS(Risk_Register!$L$2:$L$61,$A30,Risk_Register!$M$2:$M$61,F$25)</f>
        <v>0</v>
      </c>
    </row>
  </sheetData>
  <mergeCells count="13">
    <mergeCell ref="A1:H1"/>
    <mergeCell ref="C3:D3"/>
    <mergeCell ref="A3:B3"/>
    <mergeCell ref="A6:B6"/>
    <mergeCell ref="E3:F3"/>
    <mergeCell ref="C4:D4"/>
    <mergeCell ref="A4:B4"/>
    <mergeCell ref="E4:F4"/>
    <mergeCell ref="E6:F6"/>
    <mergeCell ref="C6:D6"/>
    <mergeCell ref="C7:D7"/>
    <mergeCell ref="A7:B7"/>
    <mergeCell ref="E7:F7"/>
  </mergeCells>
  <conditionalFormatting sqref="B26:F30">
    <cfRule type="cellIs" dxfId="1" priority="1" operator="greaterThanOrEqual">
      <formula>3</formula>
    </cfRule>
    <cfRule type="cellIs" dxfId="0" priority="2" operator="between">
      <formula>1</formula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Lookup_Lists</vt:lpstr>
      <vt:lpstr>Control_Library</vt:lpstr>
      <vt:lpstr>Risk_Register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Rukshana Alikhan</dc:creator>
  <cp:lastModifiedBy>Fathima Rukshana Mohamed Alikhan</cp:lastModifiedBy>
  <dcterms:modified xsi:type="dcterms:W3CDTF">2026-03-29T10:59:57Z</dcterms:modified>
</cp:coreProperties>
</file>